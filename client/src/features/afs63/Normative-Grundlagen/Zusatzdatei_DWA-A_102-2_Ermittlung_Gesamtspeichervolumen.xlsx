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Unterlagen\DWA\DWA-A-102-neu\"/>
    </mc:Choice>
  </mc:AlternateContent>
  <xr:revisionPtr revIDLastSave="0" documentId="13_ncr:1_{76B0D747-6391-4579-B6E3-9F70A48C00C3}" xr6:coauthVersionLast="47" xr6:coauthVersionMax="47" xr10:uidLastSave="{00000000-0000-0000-0000-000000000000}"/>
  <bookViews>
    <workbookView xWindow="3270" yWindow="615" windowWidth="23550" windowHeight="14955" xr2:uid="{00000000-000D-0000-FFFF-FFFF00000000}"/>
  </bookViews>
  <sheets>
    <sheet name="EZG KA" sheetId="20" r:id="rId1"/>
  </sheets>
  <definedNames>
    <definedName name="_xlnm.Print_Area" localSheetId="0">'EZG KA'!$A$4:$F$48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" i="20" l="1"/>
  <c r="E24" i="20" s="1"/>
  <c r="A9" i="20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8" i="20"/>
  <c r="E27" i="20"/>
  <c r="E30" i="20"/>
  <c r="E31" i="20" s="1"/>
  <c r="E32" i="20" s="1"/>
  <c r="E33" i="20"/>
  <c r="E34" i="20"/>
  <c r="E35" i="20"/>
  <c r="E36" i="20"/>
  <c r="E23" i="20" l="1"/>
  <c r="E29" i="20"/>
  <c r="E37" i="20" s="1"/>
  <c r="E38" i="20" s="1"/>
  <c r="E39" i="20" s="1"/>
  <c r="E22" i="20"/>
  <c r="E28" i="20"/>
  <c r="E40" i="20" l="1"/>
  <c r="E41" i="20" s="1"/>
  <c r="E42" i="20" s="1"/>
  <c r="E43" i="20" s="1"/>
  <c r="E44" i="20"/>
  <c r="E45" i="20"/>
  <c r="E47" i="20" l="1"/>
  <c r="E48" i="20" s="1"/>
</calcChain>
</file>

<file path=xl/sharedStrings.xml><?xml version="1.0" encoding="utf-8"?>
<sst xmlns="http://schemas.openxmlformats.org/spreadsheetml/2006/main" count="159" uniqueCount="130">
  <si>
    <t>Mittlere Jahresniederschlagshöhe</t>
  </si>
  <si>
    <t>mm</t>
  </si>
  <si>
    <t>ha</t>
  </si>
  <si>
    <t>min</t>
  </si>
  <si>
    <t>-</t>
  </si>
  <si>
    <t>l/s</t>
  </si>
  <si>
    <t>mg/l</t>
  </si>
  <si>
    <t>Regenabfluss aus Trenngebieten</t>
  </si>
  <si>
    <t>Einflusswert Kanalablagerungen</t>
  </si>
  <si>
    <t>%</t>
  </si>
  <si>
    <t>TW-Abflussspende aus Gesamtgebiet</t>
  </si>
  <si>
    <t>Fließzeitabminderung</t>
  </si>
  <si>
    <t>Einflusswert Jahresniederschlag</t>
  </si>
  <si>
    <t>m</t>
  </si>
  <si>
    <t>H1</t>
  </si>
  <si>
    <t>H2</t>
  </si>
  <si>
    <t>Hilfsgröße 1</t>
  </si>
  <si>
    <t>Hilfsgröße 2</t>
  </si>
  <si>
    <t>V</t>
  </si>
  <si>
    <t xml:space="preserve"> -</t>
  </si>
  <si>
    <t>Dimension</t>
  </si>
  <si>
    <t>Eingabedaten</t>
  </si>
  <si>
    <t>Einflusswert CSB-TW-Konzentration</t>
  </si>
  <si>
    <t>tau-Wert für Kanalablagerungen</t>
  </si>
  <si>
    <t>Symbol</t>
  </si>
  <si>
    <t>Wert</t>
  </si>
  <si>
    <r>
      <t>m</t>
    </r>
    <r>
      <rPr>
        <b/>
        <vertAlign val="superscript"/>
        <sz val="10"/>
        <rFont val="Arial"/>
        <family val="2"/>
      </rPr>
      <t>3</t>
    </r>
  </si>
  <si>
    <t>τ</t>
  </si>
  <si>
    <r>
      <t>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/ha</t>
    </r>
  </si>
  <si>
    <t>CSB-Konzentration im Kläranlagenablauf</t>
  </si>
  <si>
    <t>feste Einstellungen</t>
  </si>
  <si>
    <t>CSB-Konzentration im Regenwasserabfluss</t>
  </si>
  <si>
    <r>
      <t>l/(s</t>
    </r>
    <r>
      <rPr>
        <sz val="10"/>
        <rFont val="Symbol"/>
        <family val="1"/>
        <charset val="2"/>
      </rPr>
      <t>×</t>
    </r>
    <r>
      <rPr>
        <sz val="10"/>
        <rFont val="Arial"/>
        <family val="2"/>
      </rPr>
      <t>ha)</t>
    </r>
  </si>
  <si>
    <t>Regenabfluss, Drosselabfluss zur Kläranlagen, 24-h-Mittel</t>
  </si>
  <si>
    <t xml:space="preserve">Beispiel DWA-A 102, Gesamtgebiet </t>
  </si>
  <si>
    <t>Mischwasserabfluss zur Kläranlage</t>
  </si>
  <si>
    <t>Trockenwetterabfluss 24-h-Mittel</t>
  </si>
  <si>
    <t>Bemessungskonzentration CSB</t>
  </si>
  <si>
    <t>1</t>
  </si>
  <si>
    <t>Einflusswert AFS63-Fracht im Regenwasserabfluss</t>
  </si>
  <si>
    <r>
      <t>kg/(ha</t>
    </r>
    <r>
      <rPr>
        <sz val="10"/>
        <rFont val="Symbol"/>
        <family val="1"/>
        <charset val="2"/>
      </rPr>
      <t>×</t>
    </r>
    <r>
      <rPr>
        <sz val="10"/>
        <rFont val="Arial"/>
        <family val="2"/>
      </rPr>
      <t>a</t>
    </r>
    <r>
      <rPr>
        <sz val="10"/>
        <rFont val="Symbol"/>
        <family val="1"/>
        <charset val="2"/>
      </rPr>
      <t>)</t>
    </r>
  </si>
  <si>
    <t>Ermittlung des erforderlichen Gesamtspeichervolumens</t>
  </si>
  <si>
    <t>projektbezogene</t>
  </si>
  <si>
    <t>Ergebniswerte Eingabedaten</t>
  </si>
  <si>
    <r>
      <t>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/ha</t>
    </r>
  </si>
  <si>
    <t>Trockenwetterabfluss, stündlicher Spitzenwert</t>
  </si>
  <si>
    <t xml:space="preserve">Bemessungsgang nach DWA-A 102, Anwendungsbeispiel </t>
  </si>
  <si>
    <r>
      <t>e</t>
    </r>
    <r>
      <rPr>
        <b/>
        <i/>
        <vertAlign val="subscript"/>
        <sz val="10"/>
        <rFont val="Arial"/>
        <family val="2"/>
      </rPr>
      <t>0</t>
    </r>
  </si>
  <si>
    <r>
      <t>e</t>
    </r>
    <r>
      <rPr>
        <b/>
        <i/>
        <vertAlign val="subscript"/>
        <sz val="10"/>
        <rFont val="Arial"/>
        <family val="2"/>
      </rPr>
      <t xml:space="preserve">0 </t>
    </r>
    <r>
      <rPr>
        <b/>
        <i/>
        <sz val="10"/>
        <rFont val="Arial"/>
        <family val="2"/>
      </rPr>
      <t>= (C</t>
    </r>
    <r>
      <rPr>
        <b/>
        <i/>
        <vertAlign val="subscript"/>
        <sz val="10"/>
        <rFont val="Arial"/>
        <family val="2"/>
      </rPr>
      <t>R,CSB</t>
    </r>
    <r>
      <rPr>
        <b/>
        <i/>
        <sz val="10"/>
        <rFont val="Arial"/>
        <family val="2"/>
      </rPr>
      <t xml:space="preserve"> - C</t>
    </r>
    <r>
      <rPr>
        <b/>
        <i/>
        <vertAlign val="subscript"/>
        <sz val="10"/>
        <rFont val="Arial"/>
        <family val="2"/>
      </rPr>
      <t>KA,CSB</t>
    </r>
    <r>
      <rPr>
        <b/>
        <i/>
        <sz val="10"/>
        <rFont val="Arial"/>
        <family val="2"/>
      </rPr>
      <t>) / (C</t>
    </r>
    <r>
      <rPr>
        <b/>
        <i/>
        <vertAlign val="subscript"/>
        <sz val="10"/>
        <rFont val="Arial"/>
        <family val="2"/>
      </rPr>
      <t>e,CSB</t>
    </r>
    <r>
      <rPr>
        <b/>
        <i/>
        <sz val="10"/>
        <rFont val="Arial"/>
        <family val="2"/>
      </rPr>
      <t xml:space="preserve"> - C</t>
    </r>
    <r>
      <rPr>
        <b/>
        <i/>
        <vertAlign val="subscript"/>
        <sz val="10"/>
        <rFont val="Arial"/>
        <family val="2"/>
      </rPr>
      <t>KA,CSB</t>
    </r>
    <r>
      <rPr>
        <b/>
        <i/>
        <sz val="10"/>
        <rFont val="Arial"/>
        <family val="2"/>
      </rPr>
      <t xml:space="preserve">) </t>
    </r>
    <r>
      <rPr>
        <b/>
        <sz val="10"/>
        <rFont val="Calibri"/>
        <family val="2"/>
      </rPr>
      <t>∙</t>
    </r>
    <r>
      <rPr>
        <b/>
        <i/>
        <sz val="10"/>
        <rFont val="Arial"/>
        <family val="2"/>
      </rPr>
      <t xml:space="preserve"> 100</t>
    </r>
  </si>
  <si>
    <t>(Stand: 10/2021)</t>
  </si>
  <si>
    <t xml:space="preserve">Angeschlossene befestigte Teilflächen Belastungskategorie I </t>
  </si>
  <si>
    <t>Angeschlossene befestigte Teilflächen Belastungskategorie II</t>
  </si>
  <si>
    <t>Angeschlossene befestigte Teilflächen Belastungskategorie III</t>
  </si>
  <si>
    <r>
      <t xml:space="preserve">Abminderungsfaktor durchlässige Teilflächen in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</t>
    </r>
    <r>
      <rPr>
        <sz val="10"/>
        <rFont val="Arial"/>
        <family val="2"/>
      </rPr>
      <t xml:space="preserve"> </t>
    </r>
  </si>
  <si>
    <t>Längste Fließzeit im Gesamtgebiet</t>
  </si>
  <si>
    <t>Mittlere Geländeneigungsgruppe</t>
  </si>
  <si>
    <t>Mittlere CSB-Konzentration im Trockenwetterabfluss</t>
  </si>
  <si>
    <r>
      <t xml:space="preserve">Angeschlossene befestigte Gesamtfläche (=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b,a,I </t>
    </r>
    <r>
      <rPr>
        <sz val="10"/>
        <rFont val="Arial"/>
        <family val="2"/>
      </rPr>
      <t xml:space="preserve">+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b,a,II </t>
    </r>
    <r>
      <rPr>
        <sz val="10"/>
        <rFont val="Arial"/>
        <family val="2"/>
      </rPr>
      <t xml:space="preserve">+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b,a,III</t>
    </r>
    <r>
      <rPr>
        <sz val="10"/>
        <rFont val="Arial"/>
        <family val="2"/>
      </rPr>
      <t>)</t>
    </r>
  </si>
  <si>
    <r>
      <t xml:space="preserve">Regenabflussspende, Drosselabfluss zur Kläranlage (Bezug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</t>
    </r>
    <r>
      <rPr>
        <sz val="10"/>
        <rFont val="Arial"/>
        <family val="2"/>
      </rPr>
      <t>)</t>
    </r>
  </si>
  <si>
    <t>Mittlerer Regenabfluss bei Entlastung</t>
  </si>
  <si>
    <t xml:space="preserve">Mittleres Mischverhältnis </t>
  </si>
  <si>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>-Wert für Kanalablagerungen</t>
    </r>
  </si>
  <si>
    <r>
      <rPr>
        <i/>
        <sz val="10"/>
        <rFont val="Arial"/>
        <family val="2"/>
      </rPr>
      <t>d∙I</t>
    </r>
    <r>
      <rPr>
        <sz val="10"/>
        <rFont val="Arial"/>
        <family val="2"/>
      </rPr>
      <t>-Wert für Kanalablagerungen</t>
    </r>
  </si>
  <si>
    <r>
      <t xml:space="preserve">Flächenspezifischer Stoffabtrag </t>
    </r>
    <r>
      <rPr>
        <i/>
        <sz val="10"/>
        <rFont val="Arial"/>
        <family val="2"/>
      </rPr>
      <t>b</t>
    </r>
    <r>
      <rPr>
        <vertAlign val="subscript"/>
        <sz val="10"/>
        <rFont val="Arial"/>
        <family val="2"/>
      </rPr>
      <t>R,AFS63</t>
    </r>
  </si>
  <si>
    <t>Rechnerische CSB-Entlastungskonzentration</t>
  </si>
  <si>
    <t xml:space="preserve">Zulässige Entlastungsrate </t>
  </si>
  <si>
    <t>Flächenspezifisches Mindestspeichervolumen</t>
  </si>
  <si>
    <t>Erforderliches flächenspezifisches Speichervolumen</t>
  </si>
  <si>
    <t>Erforderliches Gesamtspeichervolumen</t>
  </si>
  <si>
    <r>
      <t xml:space="preserve">Flächenanteil Belastungskategorie I in % (=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b,a,I 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b,a </t>
    </r>
    <r>
      <rPr>
        <sz val="10"/>
        <rFont val="Arial"/>
        <family val="2"/>
      </rPr>
      <t>· 100)</t>
    </r>
  </si>
  <si>
    <r>
      <t xml:space="preserve">Flächenanteil Belastungskategorie II in % (=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b,a,II 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b,a </t>
    </r>
    <r>
      <rPr>
        <sz val="10"/>
        <rFont val="Arial"/>
        <family val="2"/>
      </rPr>
      <t>· 100)</t>
    </r>
  </si>
  <si>
    <r>
      <t>Flächenanteil Belastungskategorie III in % (= A</t>
    </r>
    <r>
      <rPr>
        <vertAlign val="subscript"/>
        <sz val="10"/>
        <rFont val="Arial"/>
        <family val="2"/>
      </rPr>
      <t xml:space="preserve">b,a,III 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b,a </t>
    </r>
    <r>
      <rPr>
        <sz val="10"/>
        <rFont val="Arial"/>
        <family val="2"/>
      </rPr>
      <t>· 100)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</si>
  <si>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R,Dr </t>
    </r>
    <r>
      <rPr>
        <sz val="10"/>
        <rFont val="Arial"/>
        <family val="2"/>
      </rPr>
      <t xml:space="preserve">=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R,Dr  </t>
    </r>
    <r>
      <rPr>
        <sz val="10"/>
        <rFont val="Arial"/>
        <family val="2"/>
      </rPr>
      <t>/ (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</t>
    </r>
    <r>
      <rPr>
        <sz val="10"/>
        <rFont val="Arial"/>
        <family val="2"/>
      </rPr>
      <t>)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</si>
  <si>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R,e </t>
    </r>
    <r>
      <rPr>
        <sz val="10"/>
        <rFont val="Arial"/>
        <family val="2"/>
      </rPr>
      <t xml:space="preserve">=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f</t>
    </r>
    <r>
      <rPr>
        <sz val="10"/>
        <rFont val="Arial"/>
        <family val="2"/>
      </rPr>
      <t xml:space="preserve"> </t>
    </r>
    <r>
      <rPr>
        <sz val="10"/>
        <rFont val="Calibri"/>
        <family val="2"/>
      </rPr>
      <t xml:space="preserve">∙ </t>
    </r>
    <r>
      <rPr>
        <sz val="10"/>
        <rFont val="Arial"/>
        <family val="2"/>
      </rPr>
      <t>(3,0 ∙</t>
    </r>
    <r>
      <rPr>
        <i/>
        <sz val="10"/>
        <rFont val="Arial"/>
        <family val="2"/>
      </rPr>
      <t xml:space="preserve"> A</t>
    </r>
    <r>
      <rPr>
        <vertAlign val="subscript"/>
        <sz val="10"/>
        <rFont val="Arial"/>
        <family val="2"/>
      </rPr>
      <t>b,a</t>
    </r>
    <r>
      <rPr>
        <sz val="10"/>
        <rFont val="Arial"/>
        <family val="2"/>
      </rPr>
      <t xml:space="preserve"> ∙</t>
    </r>
    <r>
      <rPr>
        <i/>
        <sz val="10"/>
        <rFont val="Arial"/>
        <family val="2"/>
      </rPr>
      <t xml:space="preserve"> f</t>
    </r>
    <r>
      <rPr>
        <vertAlign val="subscript"/>
        <sz val="10"/>
        <rFont val="Cambria"/>
        <family val="1"/>
      </rPr>
      <t xml:space="preserve">D </t>
    </r>
    <r>
      <rPr>
        <sz val="10"/>
        <rFont val="Arial"/>
        <family val="2"/>
      </rPr>
      <t xml:space="preserve">+ 3,2 ∙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R,Dr</t>
    </r>
    <r>
      <rPr>
        <sz val="10"/>
        <rFont val="Arial"/>
        <family val="2"/>
      </rPr>
      <t>)</t>
    </r>
  </si>
  <si>
    <r>
      <rPr>
        <i/>
        <sz val="10"/>
        <rFont val="Arial"/>
        <family val="2"/>
      </rPr>
      <t>m</t>
    </r>
    <r>
      <rPr>
        <sz val="10"/>
        <rFont val="Arial"/>
        <family val="2"/>
      </rPr>
      <t xml:space="preserve"> = (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R,e </t>
    </r>
    <r>
      <rPr>
        <sz val="10"/>
        <rFont val="Arial"/>
        <family val="2"/>
      </rPr>
      <t xml:space="preserve">+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R,Tr</t>
    </r>
    <r>
      <rPr>
        <sz val="10"/>
        <rFont val="Arial"/>
        <family val="2"/>
      </rPr>
      <t xml:space="preserve">) /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T,aM</t>
    </r>
  </si>
  <si>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 xml:space="preserve">a </t>
    </r>
    <r>
      <rPr>
        <sz val="10"/>
        <rFont val="Arial"/>
        <family val="2"/>
      </rPr>
      <t xml:space="preserve">= 24 ∙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T,aM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T,h,max</t>
    </r>
  </si>
  <si>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b,CSB</t>
    </r>
    <r>
      <rPr>
        <sz val="10"/>
        <rFont val="Arial"/>
        <family val="2"/>
      </rPr>
      <t xml:space="preserve"> = 600 ∙ (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c </t>
    </r>
    <r>
      <rPr>
        <sz val="10"/>
        <rFont val="Arial"/>
        <family val="2"/>
      </rPr>
      <t xml:space="preserve">+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h </t>
    </r>
    <r>
      <rPr>
        <sz val="10"/>
        <rFont val="Arial"/>
        <family val="2"/>
      </rPr>
      <t xml:space="preserve">+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>)</t>
    </r>
  </si>
  <si>
    <r>
      <rPr>
        <i/>
        <sz val="10"/>
        <rFont val="Arial"/>
        <family val="2"/>
      </rPr>
      <t>b</t>
    </r>
    <r>
      <rPr>
        <vertAlign val="subscript"/>
        <sz val="10"/>
        <rFont val="Arial"/>
        <family val="2"/>
      </rPr>
      <t>R,a,AFS63</t>
    </r>
    <r>
      <rPr>
        <sz val="10"/>
        <rFont val="Arial"/>
        <family val="2"/>
      </rPr>
      <t xml:space="preserve"> = (</t>
    </r>
    <r>
      <rPr>
        <i/>
        <sz val="10"/>
        <rFont val="Arial"/>
        <family val="2"/>
      </rPr>
      <t>p</t>
    </r>
    <r>
      <rPr>
        <vertAlign val="subscript"/>
        <sz val="10"/>
        <rFont val="Arial"/>
        <family val="2"/>
      </rPr>
      <t>I</t>
    </r>
    <r>
      <rPr>
        <sz val="10"/>
        <rFont val="Arial"/>
        <family val="2"/>
      </rPr>
      <t xml:space="preserve"> ∙ 280 +</t>
    </r>
    <r>
      <rPr>
        <i/>
        <sz val="10"/>
        <rFont val="Arial"/>
        <family val="2"/>
      </rPr>
      <t xml:space="preserve"> p</t>
    </r>
    <r>
      <rPr>
        <vertAlign val="subscript"/>
        <sz val="10"/>
        <rFont val="Arial"/>
        <family val="2"/>
      </rPr>
      <t>II</t>
    </r>
    <r>
      <rPr>
        <sz val="10"/>
        <rFont val="Arial"/>
        <family val="2"/>
      </rPr>
      <t xml:space="preserve"> ∙ 530 + </t>
    </r>
    <r>
      <rPr>
        <i/>
        <sz val="10"/>
        <rFont val="Arial"/>
        <family val="2"/>
      </rPr>
      <t>p</t>
    </r>
    <r>
      <rPr>
        <vertAlign val="subscript"/>
        <sz val="10"/>
        <rFont val="Arial"/>
        <family val="2"/>
      </rPr>
      <t>III</t>
    </r>
    <r>
      <rPr>
        <sz val="10"/>
        <rFont val="Arial"/>
        <family val="2"/>
      </rPr>
      <t xml:space="preserve"> ∙ 760) ∙ 0,01</t>
    </r>
  </si>
  <si>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 xml:space="preserve">e,CSB </t>
    </r>
    <r>
      <rPr>
        <sz val="10"/>
        <rFont val="Arial"/>
        <family val="2"/>
      </rPr>
      <t>= (</t>
    </r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R,CSB</t>
    </r>
    <r>
      <rPr>
        <sz val="10"/>
        <rFont val="Arial"/>
        <family val="2"/>
      </rPr>
      <t xml:space="preserve"> ∙</t>
    </r>
    <r>
      <rPr>
        <i/>
        <sz val="10"/>
        <rFont val="Arial"/>
        <family val="2"/>
      </rPr>
      <t xml:space="preserve"> a</t>
    </r>
    <r>
      <rPr>
        <vertAlign val="subscript"/>
        <sz val="10"/>
        <rFont val="Arial"/>
        <family val="2"/>
      </rPr>
      <t>R,AFS63</t>
    </r>
    <r>
      <rPr>
        <sz val="10"/>
        <rFont val="Arial"/>
        <family val="2"/>
      </rPr>
      <t xml:space="preserve"> ∙ </t>
    </r>
    <r>
      <rPr>
        <i/>
        <sz val="10"/>
        <rFont val="Arial"/>
        <family val="2"/>
      </rPr>
      <t>m</t>
    </r>
    <r>
      <rPr>
        <sz val="10"/>
        <rFont val="Arial"/>
        <family val="2"/>
      </rPr>
      <t xml:space="preserve"> + </t>
    </r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b,CSB</t>
    </r>
    <r>
      <rPr>
        <sz val="10"/>
        <rFont val="Arial"/>
        <family val="2"/>
      </rPr>
      <t>) / (</t>
    </r>
    <r>
      <rPr>
        <i/>
        <sz val="10"/>
        <rFont val="Arial"/>
        <family val="2"/>
      </rPr>
      <t>m</t>
    </r>
    <r>
      <rPr>
        <sz val="10"/>
        <rFont val="Arial"/>
        <family val="2"/>
      </rPr>
      <t xml:space="preserve"> + 1)</t>
    </r>
  </si>
  <si>
    <r>
      <t xml:space="preserve">H1 = (4000 + 25 ∙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R,Dr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f</t>
    </r>
    <r>
      <rPr>
        <vertAlign val="subscript"/>
        <sz val="10"/>
        <rFont val="Arial"/>
        <family val="2"/>
      </rPr>
      <t>D</t>
    </r>
    <r>
      <rPr>
        <sz val="10"/>
        <rFont val="Arial"/>
        <family val="2"/>
      </rPr>
      <t xml:space="preserve">) / (0,551 +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R,Dr  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 xml:space="preserve"> f</t>
    </r>
    <r>
      <rPr>
        <vertAlign val="subscript"/>
        <sz val="10"/>
        <rFont val="Arial"/>
        <family val="2"/>
      </rPr>
      <t>D</t>
    </r>
    <r>
      <rPr>
        <sz val="10"/>
        <rFont val="Arial"/>
        <family val="2"/>
      </rPr>
      <t>)</t>
    </r>
  </si>
  <si>
    <r>
      <rPr>
        <i/>
        <sz val="10"/>
        <rFont val="Arial"/>
        <family val="2"/>
      </rPr>
      <t>V</t>
    </r>
    <r>
      <rPr>
        <vertAlign val="subscript"/>
        <sz val="10"/>
        <rFont val="Arial"/>
        <family val="2"/>
      </rPr>
      <t>S,min</t>
    </r>
    <r>
      <rPr>
        <sz val="10"/>
        <rFont val="Arial"/>
        <family val="2"/>
      </rPr>
      <t xml:space="preserve"> = 5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/ha</t>
    </r>
  </si>
  <si>
    <r>
      <rPr>
        <b/>
        <i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 xml:space="preserve">s </t>
    </r>
    <r>
      <rPr>
        <b/>
        <sz val="10"/>
        <rFont val="Arial"/>
        <family val="2"/>
      </rPr>
      <t>= MAX (H1 / (</t>
    </r>
    <r>
      <rPr>
        <b/>
        <i/>
        <sz val="10"/>
        <rFont val="Arial"/>
        <family val="2"/>
      </rPr>
      <t>e</t>
    </r>
    <r>
      <rPr>
        <b/>
        <vertAlign val="subscript"/>
        <sz val="10"/>
        <rFont val="Arial"/>
        <family val="2"/>
      </rPr>
      <t xml:space="preserve">0 </t>
    </r>
    <r>
      <rPr>
        <b/>
        <sz val="10"/>
        <rFont val="Arial"/>
        <family val="2"/>
      </rPr>
      <t xml:space="preserve">+ 6) - H2; </t>
    </r>
    <r>
      <rPr>
        <b/>
        <i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S,min</t>
    </r>
    <r>
      <rPr>
        <b/>
        <sz val="10"/>
        <rFont val="Arial"/>
        <family val="2"/>
      </rPr>
      <t>)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</si>
  <si>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h </t>
    </r>
    <r>
      <rPr>
        <sz val="10"/>
        <rFont val="Arial"/>
        <family val="2"/>
      </rPr>
      <t>= (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 xml:space="preserve">N,aM </t>
    </r>
    <r>
      <rPr>
        <sz val="10"/>
        <rFont val="Arial"/>
        <family val="2"/>
      </rPr>
      <t>/ 800 - 1); &gt;= -0,25; &lt;= 0,25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</si>
  <si>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c,CSB </t>
    </r>
    <r>
      <rPr>
        <sz val="10"/>
        <rFont val="Arial"/>
        <family val="2"/>
      </rPr>
      <t xml:space="preserve">= </t>
    </r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 xml:space="preserve">T,aM,CSB  </t>
    </r>
    <r>
      <rPr>
        <sz val="10"/>
        <rFont val="Arial"/>
        <family val="2"/>
      </rPr>
      <t>/ 600; &gt;= 1,0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</si>
  <si>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f </t>
    </r>
    <r>
      <rPr>
        <sz val="10"/>
        <rFont val="Arial"/>
        <family val="2"/>
      </rPr>
      <t>= 0,5 + 50 / (</t>
    </r>
    <r>
      <rPr>
        <i/>
        <sz val="10"/>
        <rFont val="Arial"/>
        <family val="2"/>
      </rPr>
      <t>t</t>
    </r>
    <r>
      <rPr>
        <vertAlign val="subscript"/>
        <sz val="10"/>
        <rFont val="Arial"/>
        <family val="2"/>
      </rPr>
      <t xml:space="preserve">f  </t>
    </r>
    <r>
      <rPr>
        <sz val="10"/>
        <rFont val="Arial"/>
        <family val="2"/>
      </rPr>
      <t>+ 100); &gt;= 0,885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</si>
  <si>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R,Dr </t>
    </r>
    <r>
      <rPr>
        <sz val="10"/>
        <rFont val="Arial"/>
        <family val="2"/>
      </rPr>
      <t xml:space="preserve">=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M  </t>
    </r>
    <r>
      <rPr>
        <sz val="10"/>
        <rFont val="Arial"/>
        <family val="2"/>
      </rPr>
      <t xml:space="preserve">-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T,aM  </t>
    </r>
    <r>
      <rPr>
        <sz val="10"/>
        <rFont val="Arial"/>
        <family val="2"/>
      </rPr>
      <t xml:space="preserve">-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R,Tr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</si>
  <si>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T,aM </t>
    </r>
    <r>
      <rPr>
        <sz val="10"/>
        <rFont val="Arial"/>
        <family val="2"/>
      </rPr>
      <t xml:space="preserve">=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T,aM  </t>
    </r>
    <r>
      <rPr>
        <sz val="10"/>
        <rFont val="Arial"/>
        <family val="2"/>
      </rPr>
      <t>/ (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</t>
    </r>
    <r>
      <rPr>
        <sz val="10"/>
        <rFont val="Arial"/>
        <family val="2"/>
      </rPr>
      <t>)</t>
    </r>
  </si>
  <si>
    <r>
      <rPr>
        <i/>
        <sz val="10"/>
        <rFont val="Times New Roman"/>
        <family val="1"/>
      </rPr>
      <t>τ</t>
    </r>
    <r>
      <rPr>
        <sz val="10"/>
        <rFont val="Arial"/>
        <family val="2"/>
      </rPr>
      <t xml:space="preserve"> = 430 ∙ (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T,aM  </t>
    </r>
    <r>
      <rPr>
        <sz val="10"/>
        <rFont val="Arial"/>
        <family val="2"/>
      </rPr>
      <t>/ f</t>
    </r>
    <r>
      <rPr>
        <vertAlign val="subscript"/>
        <sz val="10"/>
        <rFont val="Arial"/>
        <family val="2"/>
      </rPr>
      <t>D</t>
    </r>
    <r>
      <rPr>
        <sz val="10"/>
        <rFont val="Arial"/>
        <family val="2"/>
      </rPr>
      <t>)</t>
    </r>
    <r>
      <rPr>
        <vertAlign val="superscript"/>
        <sz val="10"/>
        <rFont val="Arial"/>
        <family val="2"/>
      </rPr>
      <t>0,45</t>
    </r>
    <r>
      <rPr>
        <sz val="10"/>
        <rFont val="Arial"/>
        <family val="2"/>
      </rPr>
      <t xml:space="preserve"> ∙ </t>
    </r>
    <r>
      <rPr>
        <i/>
        <sz val="10"/>
        <rFont val="Arial"/>
        <family val="2"/>
      </rPr>
      <t xml:space="preserve">d ∙ I </t>
    </r>
  </si>
  <si>
    <r>
      <rPr>
        <i/>
        <sz val="10"/>
        <rFont val="Arial"/>
        <family val="2"/>
      </rPr>
      <t>d ∙ I</t>
    </r>
    <r>
      <rPr>
        <sz val="10"/>
        <rFont val="Arial"/>
        <family val="2"/>
      </rPr>
      <t xml:space="preserve"> nach Zeile 8 oder </t>
    </r>
    <r>
      <rPr>
        <i/>
        <sz val="10"/>
        <rFont val="Arial"/>
        <family val="2"/>
      </rPr>
      <t>d ∙ I</t>
    </r>
    <r>
      <rPr>
        <sz val="10"/>
        <rFont val="Arial"/>
        <family val="2"/>
      </rPr>
      <t xml:space="preserve">  = 0,001 ∙ [1 + 2 ∙ (</t>
    </r>
    <r>
      <rPr>
        <i/>
        <sz val="10"/>
        <rFont val="Arial"/>
        <family val="2"/>
      </rPr>
      <t>NG</t>
    </r>
    <r>
      <rPr>
        <vertAlign val="subscript"/>
        <sz val="10"/>
        <rFont val="Arial"/>
        <family val="2"/>
      </rPr>
      <t xml:space="preserve">m </t>
    </r>
    <r>
      <rPr>
        <sz val="10"/>
        <rFont val="Arial"/>
        <family val="2"/>
      </rPr>
      <t>- 1)]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</si>
  <si>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R,AFS63</t>
    </r>
    <r>
      <rPr>
        <sz val="10"/>
        <rFont val="Arial"/>
        <family val="2"/>
      </rPr>
      <t xml:space="preserve"> = </t>
    </r>
    <r>
      <rPr>
        <i/>
        <sz val="10"/>
        <rFont val="Arial"/>
        <family val="2"/>
      </rPr>
      <t>b</t>
    </r>
    <r>
      <rPr>
        <vertAlign val="subscript"/>
        <sz val="10"/>
        <rFont val="Arial"/>
        <family val="2"/>
      </rPr>
      <t>R,a,AFS63</t>
    </r>
    <r>
      <rPr>
        <sz val="10"/>
        <rFont val="Arial"/>
        <family val="2"/>
      </rPr>
      <t xml:space="preserve"> / 478; &gt;= 1,0; &lt;= 1,20</t>
    </r>
  </si>
  <si>
    <r>
      <t xml:space="preserve">H2 = (36,8 + 13,5 ∙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R,Dr 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f</t>
    </r>
    <r>
      <rPr>
        <vertAlign val="subscript"/>
        <sz val="10"/>
        <rFont val="Arial"/>
        <family val="2"/>
      </rPr>
      <t>D</t>
    </r>
    <r>
      <rPr>
        <sz val="10"/>
        <rFont val="Arial"/>
        <family val="2"/>
      </rPr>
      <t xml:space="preserve">) / (0,5 + </t>
    </r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 xml:space="preserve">R,Dr  </t>
    </r>
    <r>
      <rPr>
        <sz val="10"/>
        <rFont val="Arial"/>
        <family val="2"/>
      </rPr>
      <t xml:space="preserve">/ </t>
    </r>
    <r>
      <rPr>
        <i/>
        <sz val="10"/>
        <rFont val="Arial"/>
        <family val="2"/>
      </rPr>
      <t>f</t>
    </r>
    <r>
      <rPr>
        <vertAlign val="subscript"/>
        <sz val="10"/>
        <rFont val="Arial"/>
        <family val="2"/>
      </rPr>
      <t>D</t>
    </r>
    <r>
      <rPr>
        <sz val="10"/>
        <rFont val="Arial"/>
        <family val="2"/>
      </rPr>
      <t>)</t>
    </r>
  </si>
  <si>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N,aM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</si>
  <si>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b,a,I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</si>
  <si>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b,a,II</t>
    </r>
  </si>
  <si>
    <r>
      <rPr>
        <i/>
        <sz val="10"/>
        <rFont val="Arial"/>
        <family val="2"/>
      </rPr>
      <t>f</t>
    </r>
    <r>
      <rPr>
        <vertAlign val="subscript"/>
        <sz val="10"/>
        <rFont val="Arial"/>
        <family val="2"/>
      </rPr>
      <t>D</t>
    </r>
  </si>
  <si>
    <r>
      <rPr>
        <i/>
        <sz val="10"/>
        <rFont val="Arial"/>
        <family val="2"/>
      </rPr>
      <t>t</t>
    </r>
    <r>
      <rPr>
        <vertAlign val="subscript"/>
        <sz val="10"/>
        <rFont val="Arial"/>
        <family val="2"/>
      </rPr>
      <t>f</t>
    </r>
  </si>
  <si>
    <r>
      <rPr>
        <i/>
        <sz val="10"/>
        <rFont val="Arial"/>
        <family val="2"/>
      </rPr>
      <t>NG</t>
    </r>
    <r>
      <rPr>
        <vertAlign val="subscript"/>
        <sz val="10"/>
        <rFont val="Arial"/>
        <family val="2"/>
      </rPr>
      <t>m</t>
    </r>
  </si>
  <si>
    <t>d ∙ I</t>
  </si>
  <si>
    <r>
      <t xml:space="preserve">Längengewichtetes Produkt </t>
    </r>
    <r>
      <rPr>
        <i/>
        <sz val="10"/>
        <rFont val="Arial"/>
        <family val="2"/>
      </rPr>
      <t>d</t>
    </r>
    <r>
      <rPr>
        <i/>
        <sz val="10"/>
        <rFont val="Calibri"/>
        <family val="2"/>
      </rPr>
      <t>∙</t>
    </r>
    <r>
      <rPr>
        <i/>
        <sz val="10"/>
        <rFont val="Arial"/>
        <family val="2"/>
      </rPr>
      <t>I</t>
    </r>
    <r>
      <rPr>
        <sz val="10"/>
        <rFont val="Arial"/>
        <family val="2"/>
      </rPr>
      <t xml:space="preserve"> (siehe Anhang B, B.3.3.10)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</si>
  <si>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M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</si>
  <si>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T,aM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</si>
  <si>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T,h,max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</si>
  <si>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R,Tr</t>
    </r>
  </si>
  <si>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T,aM,CSB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</si>
  <si>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</t>
    </r>
  </si>
  <si>
    <r>
      <rPr>
        <i/>
        <sz val="10"/>
        <rFont val="Arial"/>
        <family val="2"/>
      </rPr>
      <t>p</t>
    </r>
    <r>
      <rPr>
        <vertAlign val="subscript"/>
        <sz val="10"/>
        <rFont val="Arial"/>
        <family val="2"/>
      </rPr>
      <t>I</t>
    </r>
  </si>
  <si>
    <r>
      <rPr>
        <i/>
        <sz val="10"/>
        <rFont val="Arial"/>
        <family val="2"/>
      </rPr>
      <t>p</t>
    </r>
    <r>
      <rPr>
        <vertAlign val="subscript"/>
        <sz val="10"/>
        <rFont val="Arial"/>
        <family val="2"/>
      </rPr>
      <t>II</t>
    </r>
  </si>
  <si>
    <r>
      <rPr>
        <i/>
        <sz val="10"/>
        <rFont val="Arial"/>
        <family val="2"/>
      </rPr>
      <t>p</t>
    </r>
    <r>
      <rPr>
        <vertAlign val="subscript"/>
        <sz val="10"/>
        <rFont val="Arial"/>
        <family val="2"/>
      </rPr>
      <t>III</t>
    </r>
  </si>
  <si>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R,CSB</t>
    </r>
  </si>
  <si>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K,CSB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</si>
  <si>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R,Dr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</si>
  <si>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R,Dr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</si>
  <si>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T,aM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</si>
  <si>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f</t>
    </r>
  </si>
  <si>
    <r>
      <rPr>
        <i/>
        <sz val="10"/>
        <rFont val="Arial"/>
        <family val="2"/>
      </rPr>
      <t>Q</t>
    </r>
    <r>
      <rPr>
        <vertAlign val="subscript"/>
        <sz val="10"/>
        <rFont val="Arial"/>
        <family val="2"/>
      </rPr>
      <t>R,e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</si>
  <si>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c,CSB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</si>
  <si>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h</t>
    </r>
  </si>
  <si>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a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</si>
  <si>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a</t>
    </r>
  </si>
  <si>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b,CSB</t>
    </r>
  </si>
  <si>
    <r>
      <rPr>
        <i/>
        <sz val="10"/>
        <rFont val="Arial"/>
        <family val="2"/>
      </rPr>
      <t>b</t>
    </r>
    <r>
      <rPr>
        <vertAlign val="subscript"/>
        <sz val="10"/>
        <rFont val="Arial"/>
        <family val="2"/>
      </rPr>
      <t>R,a,AFS63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</si>
  <si>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R,AFS63</t>
    </r>
  </si>
  <si>
    <r>
      <rPr>
        <i/>
        <sz val="10"/>
        <rFont val="Arial"/>
        <family val="2"/>
      </rPr>
      <t>C</t>
    </r>
    <r>
      <rPr>
        <vertAlign val="subscript"/>
        <sz val="10"/>
        <rFont val="Arial"/>
        <family val="2"/>
      </rPr>
      <t>e,CSB</t>
    </r>
  </si>
  <si>
    <r>
      <rPr>
        <i/>
        <sz val="10"/>
        <rFont val="Arial"/>
        <family val="2"/>
      </rPr>
      <t>V</t>
    </r>
    <r>
      <rPr>
        <vertAlign val="subscript"/>
        <sz val="10"/>
        <rFont val="Arial"/>
        <family val="2"/>
      </rPr>
      <t>S,min</t>
    </r>
  </si>
  <si>
    <r>
      <rPr>
        <b/>
        <i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s</t>
    </r>
  </si>
  <si>
    <r>
      <rPr>
        <b/>
        <i/>
        <sz val="10"/>
        <rFont val="Arial"/>
        <family val="2"/>
      </rPr>
      <t xml:space="preserve">V </t>
    </r>
    <r>
      <rPr>
        <b/>
        <sz val="10"/>
        <rFont val="Arial"/>
        <family val="2"/>
      </rPr>
      <t xml:space="preserve">= </t>
    </r>
    <r>
      <rPr>
        <b/>
        <i/>
        <sz val="10"/>
        <rFont val="Arial"/>
        <family val="2"/>
      </rPr>
      <t>V</t>
    </r>
    <r>
      <rPr>
        <b/>
        <vertAlign val="subscript"/>
        <sz val="10"/>
        <rFont val="Arial"/>
        <family val="2"/>
      </rPr>
      <t>s</t>
    </r>
    <r>
      <rPr>
        <b/>
        <sz val="10"/>
        <rFont val="Arial"/>
        <family val="2"/>
      </rPr>
      <t xml:space="preserve"> ∙ </t>
    </r>
    <r>
      <rPr>
        <b/>
        <i/>
        <sz val="10"/>
        <rFont val="Arial"/>
        <family val="2"/>
      </rPr>
      <t>A</t>
    </r>
    <r>
      <rPr>
        <b/>
        <vertAlign val="subscript"/>
        <sz val="10"/>
        <rFont val="Arial"/>
        <family val="2"/>
      </rPr>
      <t>b,a</t>
    </r>
    <r>
      <rPr>
        <b/>
        <sz val="10"/>
        <rFont val="Arial"/>
        <family val="2"/>
      </rPr>
      <t xml:space="preserve"> ∙ </t>
    </r>
    <r>
      <rPr>
        <b/>
        <i/>
        <sz val="10"/>
        <rFont val="Arial"/>
        <family val="2"/>
      </rPr>
      <t>f</t>
    </r>
    <r>
      <rPr>
        <b/>
        <vertAlign val="subscript"/>
        <sz val="10"/>
        <rFont val="Arial"/>
        <family val="2"/>
      </rPr>
      <t>D</t>
    </r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</si>
  <si>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 xml:space="preserve">a </t>
    </r>
    <r>
      <rPr>
        <sz val="10"/>
        <rFont val="Arial"/>
        <family val="2"/>
      </rPr>
      <t xml:space="preserve">= (24 / 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a</t>
    </r>
    <r>
      <rPr>
        <sz val="10"/>
        <rFont val="Arial"/>
        <family val="2"/>
      </rPr>
      <t>)</t>
    </r>
    <r>
      <rPr>
        <vertAlign val="superscript"/>
        <sz val="10"/>
        <rFont val="Arial"/>
        <family val="2"/>
      </rPr>
      <t xml:space="preserve">2 </t>
    </r>
    <r>
      <rPr>
        <sz val="10"/>
        <rFont val="Arial"/>
        <family val="2"/>
      </rPr>
      <t xml:space="preserve">∙ (2 - </t>
    </r>
    <r>
      <rPr>
        <i/>
        <sz val="10"/>
        <rFont val="Times New Roman"/>
        <family val="1"/>
      </rPr>
      <t>τ</t>
    </r>
    <r>
      <rPr>
        <sz val="10"/>
        <rFont val="Arial"/>
        <family val="2"/>
      </rPr>
      <t>) / 10; &gt;= 0</t>
    </r>
  </si>
  <si>
    <t>Zulässige Entlastungsrate nach CSB-Zielfunktion, Regenwasserbelastung angepasst nach AFS63-Belastung</t>
  </si>
  <si>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b,a,III</t>
    </r>
  </si>
  <si>
    <t>Berechnungshilfe Ermittlung Gesamtspeichervolumen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</si>
</sst>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_-* #,##0.0\ _€_-;\-* #,##0.0\ _€_-;_-* &quot;-&quot;??\ _€_-;_-@_-"/>
    <numFmt numFmtId="166" formatCode="_-* #,##0\ _€_-;\-* #,##0\ _€_-;_-* &quot;-&quot;??\ _€_-;_-@_-"/>
    <numFmt numFmtId="167" formatCode="_-* #,##0.000\ _€_-;\-* #,##0.000\ _€_-;_-* &quot;-&quot;??\ _€_-;_-@_-"/>
    <numFmt numFmtId="168" formatCode="_-* #,##0.0000\ _€_-;\-* #,##0.0000\ _€_-;_-* &quot;-&quot;??\ _€_-;_-@_-"/>
    <numFmt numFmtId="169" formatCode="_-* #,##0.000000\ _€_-;\-* #,##0.000000\ _€_-;_-* &quot;-&quot;??\ _€_-;_-@_-"/>
  </numFmts>
  <fonts count="2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sz val="14"/>
      <name val="Arial"/>
      <family val="2"/>
    </font>
    <font>
      <b/>
      <vertAlign val="superscript"/>
      <sz val="10"/>
      <name val="Arial"/>
      <family val="2"/>
    </font>
    <font>
      <vertAlign val="subscript"/>
      <sz val="10"/>
      <name val="Cambria"/>
      <family val="1"/>
    </font>
    <font>
      <sz val="10"/>
      <name val="Symbol"/>
      <family val="1"/>
      <charset val="2"/>
    </font>
    <font>
      <b/>
      <sz val="11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sz val="16"/>
      <name val="Arial"/>
      <family val="2"/>
    </font>
    <font>
      <sz val="12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b/>
      <sz val="14"/>
      <color theme="3" tint="0.39997558519241921"/>
      <name val="Arial"/>
      <family val="2"/>
    </font>
    <font>
      <i/>
      <sz val="10"/>
      <name val="Arial"/>
      <family val="2"/>
    </font>
    <font>
      <i/>
      <sz val="10"/>
      <name val="Times New Roman"/>
      <family val="1"/>
    </font>
    <font>
      <i/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double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1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167" fontId="3" fillId="3" borderId="4" xfId="1" applyNumberFormat="1" applyFont="1" applyFill="1" applyBorder="1" applyAlignment="1">
      <alignment vertical="center"/>
    </xf>
    <xf numFmtId="0" fontId="3" fillId="3" borderId="1" xfId="0" quotePrefix="1" applyFont="1" applyFill="1" applyBorder="1" applyAlignment="1">
      <alignment horizontal="center" vertical="center"/>
    </xf>
    <xf numFmtId="165" fontId="3" fillId="3" borderId="4" xfId="1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164" fontId="3" fillId="3" borderId="7" xfId="1" applyNumberFormat="1" applyFont="1" applyFill="1" applyBorder="1" applyAlignment="1">
      <alignment vertical="center"/>
    </xf>
    <xf numFmtId="0" fontId="3" fillId="3" borderId="8" xfId="0" applyFont="1" applyFill="1" applyBorder="1" applyAlignment="1">
      <alignment horizontal="center" vertical="center"/>
    </xf>
    <xf numFmtId="164" fontId="3" fillId="3" borderId="5" xfId="1" applyFont="1" applyFill="1" applyBorder="1" applyAlignment="1">
      <alignment horizontal="right" vertical="center"/>
    </xf>
    <xf numFmtId="0" fontId="3" fillId="3" borderId="9" xfId="0" quotePrefix="1" applyFont="1" applyFill="1" applyBorder="1" applyAlignment="1">
      <alignment horizontal="center" vertical="center"/>
    </xf>
    <xf numFmtId="168" fontId="3" fillId="3" borderId="4" xfId="1" applyNumberFormat="1" applyFont="1" applyFill="1" applyBorder="1" applyAlignment="1">
      <alignment vertical="center"/>
    </xf>
    <xf numFmtId="169" fontId="3" fillId="3" borderId="4" xfId="1" applyNumberFormat="1" applyFont="1" applyFill="1" applyBorder="1" applyAlignment="1">
      <alignment horizontal="right" vertical="center"/>
    </xf>
    <xf numFmtId="164" fontId="3" fillId="3" borderId="4" xfId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6" fontId="3" fillId="2" borderId="2" xfId="1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1" applyFont="1" applyFill="1" applyBorder="1" applyAlignment="1">
      <alignment vertical="center"/>
    </xf>
    <xf numFmtId="164" fontId="3" fillId="2" borderId="4" xfId="1" applyNumberFormat="1" applyFont="1" applyFill="1" applyBorder="1" applyAlignment="1">
      <alignment vertical="center"/>
    </xf>
    <xf numFmtId="0" fontId="11" fillId="6" borderId="10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vertical="center"/>
    </xf>
    <xf numFmtId="0" fontId="12" fillId="2" borderId="14" xfId="0" applyFont="1" applyFill="1" applyBorder="1" applyAlignment="1">
      <alignment horizontal="center" vertical="center"/>
    </xf>
    <xf numFmtId="164" fontId="12" fillId="2" borderId="14" xfId="1" applyNumberFormat="1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vertical="center"/>
    </xf>
    <xf numFmtId="0" fontId="3" fillId="4" borderId="17" xfId="0" applyFont="1" applyFill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19" xfId="0" applyFont="1" applyFill="1" applyBorder="1" applyAlignment="1">
      <alignment vertical="center"/>
    </xf>
    <xf numFmtId="0" fontId="3" fillId="2" borderId="17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/>
    </xf>
    <xf numFmtId="1" fontId="0" fillId="2" borderId="22" xfId="0" applyNumberFormat="1" applyFill="1" applyBorder="1" applyAlignment="1">
      <alignment horizontal="center"/>
    </xf>
    <xf numFmtId="164" fontId="3" fillId="3" borderId="5" xfId="1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0" xfId="0" applyAlignment="1"/>
    <xf numFmtId="167" fontId="3" fillId="3" borderId="12" xfId="1" applyNumberFormat="1" applyFont="1" applyFill="1" applyBorder="1" applyAlignment="1">
      <alignment vertical="center"/>
    </xf>
    <xf numFmtId="0" fontId="3" fillId="3" borderId="18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quotePrefix="1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vertical="center"/>
    </xf>
    <xf numFmtId="0" fontId="3" fillId="3" borderId="23" xfId="0" applyFont="1" applyFill="1" applyBorder="1" applyAlignment="1">
      <alignment horizontal="center" vertical="center"/>
    </xf>
    <xf numFmtId="165" fontId="3" fillId="3" borderId="23" xfId="1" applyNumberFormat="1" applyFont="1" applyFill="1" applyBorder="1" applyAlignment="1">
      <alignment vertical="center"/>
    </xf>
    <xf numFmtId="2" fontId="3" fillId="4" borderId="24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vertical="center"/>
    </xf>
    <xf numFmtId="1" fontId="0" fillId="3" borderId="26" xfId="0" applyNumberFormat="1" applyFill="1" applyBorder="1" applyAlignment="1">
      <alignment horizontal="center"/>
    </xf>
    <xf numFmtId="1" fontId="0" fillId="3" borderId="21" xfId="0" applyNumberFormat="1" applyFill="1" applyBorder="1" applyAlignment="1">
      <alignment horizontal="center"/>
    </xf>
    <xf numFmtId="1" fontId="0" fillId="2" borderId="27" xfId="0" applyNumberFormat="1" applyFill="1" applyBorder="1" applyAlignment="1">
      <alignment horizontal="center"/>
    </xf>
    <xf numFmtId="1" fontId="0" fillId="3" borderId="28" xfId="0" applyNumberFormat="1" applyFill="1" applyBorder="1" applyAlignment="1">
      <alignment horizontal="center"/>
    </xf>
    <xf numFmtId="1" fontId="0" fillId="3" borderId="29" xfId="0" applyNumberFormat="1" applyFill="1" applyBorder="1" applyAlignment="1">
      <alignment horizontal="center"/>
    </xf>
    <xf numFmtId="1" fontId="3" fillId="7" borderId="24" xfId="0" applyNumberFormat="1" applyFont="1" applyFill="1" applyBorder="1" applyAlignment="1">
      <alignment horizontal="center"/>
    </xf>
    <xf numFmtId="0" fontId="3" fillId="7" borderId="30" xfId="0" applyFont="1" applyFill="1" applyBorder="1" applyAlignment="1">
      <alignment vertical="center"/>
    </xf>
    <xf numFmtId="0" fontId="3" fillId="7" borderId="31" xfId="0" applyFont="1" applyFill="1" applyBorder="1" applyAlignment="1">
      <alignment vertical="center"/>
    </xf>
    <xf numFmtId="0" fontId="3" fillId="7" borderId="31" xfId="0" applyFont="1" applyFill="1" applyBorder="1" applyAlignment="1">
      <alignment horizontal="center" vertical="center"/>
    </xf>
    <xf numFmtId="1" fontId="0" fillId="5" borderId="26" xfId="0" applyNumberFormat="1" applyFill="1" applyBorder="1" applyAlignment="1">
      <alignment horizontal="center"/>
    </xf>
    <xf numFmtId="1" fontId="0" fillId="5" borderId="28" xfId="0" applyNumberForma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1" fontId="3" fillId="7" borderId="21" xfId="0" applyNumberFormat="1" applyFont="1" applyFill="1" applyBorder="1" applyAlignment="1">
      <alignment horizontal="center"/>
    </xf>
    <xf numFmtId="166" fontId="3" fillId="7" borderId="31" xfId="1" applyNumberFormat="1" applyFont="1" applyFill="1" applyBorder="1" applyAlignment="1">
      <alignment vertical="center"/>
    </xf>
    <xf numFmtId="1" fontId="3" fillId="2" borderId="27" xfId="0" applyNumberFormat="1" applyFont="1" applyFill="1" applyBorder="1" applyAlignment="1">
      <alignment horizontal="center"/>
    </xf>
    <xf numFmtId="165" fontId="3" fillId="2" borderId="2" xfId="1" applyNumberFormat="1" applyFont="1" applyFill="1" applyBorder="1" applyAlignment="1">
      <alignment vertical="center"/>
    </xf>
    <xf numFmtId="0" fontId="3" fillId="7" borderId="35" xfId="0" applyFont="1" applyFill="1" applyBorder="1" applyAlignment="1">
      <alignment vertical="center"/>
    </xf>
    <xf numFmtId="0" fontId="3" fillId="7" borderId="36" xfId="0" applyFont="1" applyFill="1" applyBorder="1" applyAlignment="1">
      <alignment vertical="center"/>
    </xf>
    <xf numFmtId="0" fontId="3" fillId="7" borderId="36" xfId="0" applyFont="1" applyFill="1" applyBorder="1" applyAlignment="1">
      <alignment horizontal="center" vertical="center"/>
    </xf>
    <xf numFmtId="164" fontId="3" fillId="7" borderId="36" xfId="1" applyNumberFormat="1" applyFont="1" applyFill="1" applyBorder="1" applyAlignment="1">
      <alignment vertical="center"/>
    </xf>
    <xf numFmtId="0" fontId="3" fillId="7" borderId="37" xfId="0" quotePrefix="1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vertical="center"/>
    </xf>
    <xf numFmtId="0" fontId="3" fillId="3" borderId="40" xfId="0" applyFont="1" applyFill="1" applyBorder="1" applyAlignment="1">
      <alignment horizontal="center" vertical="center"/>
    </xf>
    <xf numFmtId="0" fontId="3" fillId="7" borderId="41" xfId="0" quotePrefix="1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vertical="center"/>
    </xf>
    <xf numFmtId="0" fontId="12" fillId="2" borderId="43" xfId="0" applyFont="1" applyFill="1" applyBorder="1" applyAlignment="1">
      <alignment vertical="center"/>
    </xf>
    <xf numFmtId="0" fontId="12" fillId="2" borderId="44" xfId="0" applyFont="1" applyFill="1" applyBorder="1" applyAlignment="1">
      <alignment horizontal="center" vertical="center"/>
    </xf>
    <xf numFmtId="0" fontId="3" fillId="8" borderId="4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vertical="center"/>
    </xf>
    <xf numFmtId="0" fontId="3" fillId="9" borderId="31" xfId="0" applyFont="1" applyFill="1" applyBorder="1" applyAlignment="1">
      <alignment horizontal="center" vertical="center"/>
    </xf>
    <xf numFmtId="164" fontId="3" fillId="9" borderId="31" xfId="1" applyNumberFormat="1" applyFont="1" applyFill="1" applyBorder="1" applyAlignment="1">
      <alignment horizontal="right" vertical="center"/>
    </xf>
    <xf numFmtId="0" fontId="3" fillId="9" borderId="17" xfId="0" applyFont="1" applyFill="1" applyBorder="1" applyAlignment="1">
      <alignment vertical="center"/>
    </xf>
    <xf numFmtId="0" fontId="3" fillId="9" borderId="4" xfId="0" applyFont="1" applyFill="1" applyBorder="1" applyAlignment="1">
      <alignment horizontal="center" vertical="center"/>
    </xf>
    <xf numFmtId="165" fontId="3" fillId="9" borderId="4" xfId="1" applyNumberFormat="1" applyFont="1" applyFill="1" applyBorder="1" applyAlignment="1">
      <alignment horizontal="right" vertical="center"/>
    </xf>
    <xf numFmtId="0" fontId="3" fillId="9" borderId="46" xfId="0" applyFont="1" applyFill="1" applyBorder="1" applyAlignment="1">
      <alignment vertical="center"/>
    </xf>
    <xf numFmtId="0" fontId="3" fillId="9" borderId="14" xfId="0" applyFont="1" applyFill="1" applyBorder="1" applyAlignment="1">
      <alignment horizontal="center" vertical="center"/>
    </xf>
    <xf numFmtId="165" fontId="3" fillId="9" borderId="14" xfId="1" applyNumberFormat="1" applyFont="1" applyFill="1" applyBorder="1" applyAlignment="1">
      <alignment horizontal="right" vertical="center"/>
    </xf>
    <xf numFmtId="1" fontId="3" fillId="4" borderId="27" xfId="0" applyNumberFormat="1" applyFont="1" applyFill="1" applyBorder="1" applyAlignment="1">
      <alignment horizontal="center" vertical="center"/>
    </xf>
    <xf numFmtId="1" fontId="3" fillId="4" borderId="47" xfId="0" applyNumberFormat="1" applyFont="1" applyFill="1" applyBorder="1" applyAlignment="1">
      <alignment horizontal="center" vertical="center"/>
    </xf>
    <xf numFmtId="1" fontId="3" fillId="9" borderId="24" xfId="0" applyNumberFormat="1" applyFont="1" applyFill="1" applyBorder="1" applyAlignment="1">
      <alignment horizontal="center" vertical="center"/>
    </xf>
    <xf numFmtId="1" fontId="3" fillId="9" borderId="27" xfId="0" applyNumberFormat="1" applyFont="1" applyFill="1" applyBorder="1" applyAlignment="1">
      <alignment horizontal="center" vertical="center"/>
    </xf>
    <xf numFmtId="1" fontId="3" fillId="9" borderId="48" xfId="0" applyNumberFormat="1" applyFont="1" applyFill="1" applyBorder="1" applyAlignment="1">
      <alignment horizontal="center" vertical="center"/>
    </xf>
    <xf numFmtId="1" fontId="0" fillId="2" borderId="29" xfId="0" applyNumberFormat="1" applyFill="1" applyBorder="1" applyAlignment="1">
      <alignment horizontal="center"/>
    </xf>
    <xf numFmtId="1" fontId="0" fillId="10" borderId="49" xfId="0" applyNumberFormat="1" applyFill="1" applyBorder="1" applyAlignment="1">
      <alignment horizontal="center"/>
    </xf>
    <xf numFmtId="0" fontId="2" fillId="10" borderId="50" xfId="0" applyFont="1" applyFill="1" applyBorder="1" applyAlignment="1">
      <alignment vertical="center"/>
    </xf>
    <xf numFmtId="0" fontId="2" fillId="10" borderId="51" xfId="0" applyFont="1" applyFill="1" applyBorder="1" applyAlignment="1">
      <alignment vertical="center"/>
    </xf>
    <xf numFmtId="166" fontId="2" fillId="10" borderId="51" xfId="1" applyNumberFormat="1" applyFont="1" applyFill="1" applyBorder="1" applyAlignment="1">
      <alignment vertical="center"/>
    </xf>
    <xf numFmtId="0" fontId="2" fillId="10" borderId="52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vertical="center"/>
    </xf>
    <xf numFmtId="0" fontId="3" fillId="5" borderId="32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166" fontId="3" fillId="5" borderId="5" xfId="1" applyNumberFormat="1" applyFont="1" applyFill="1" applyBorder="1" applyAlignment="1">
      <alignment vertical="center"/>
    </xf>
    <xf numFmtId="0" fontId="3" fillId="5" borderId="9" xfId="0" quotePrefix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166" fontId="3" fillId="5" borderId="7" xfId="1" applyNumberFormat="1" applyFont="1" applyFill="1" applyBorder="1" applyAlignment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/>
    </xf>
    <xf numFmtId="164" fontId="3" fillId="2" borderId="12" xfId="1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20" fillId="0" borderId="0" xfId="0" applyFont="1"/>
    <xf numFmtId="0" fontId="18" fillId="0" borderId="0" xfId="0" applyFont="1" applyFill="1"/>
    <xf numFmtId="0" fontId="7" fillId="0" borderId="0" xfId="0" applyFont="1"/>
    <xf numFmtId="0" fontId="7" fillId="0" borderId="0" xfId="0" applyFont="1" applyFill="1"/>
    <xf numFmtId="0" fontId="22" fillId="4" borderId="4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12" fillId="10" borderId="51" xfId="0" applyFont="1" applyFill="1" applyBorder="1" applyAlignment="1">
      <alignment horizontal="center" vertical="center"/>
    </xf>
    <xf numFmtId="0" fontId="3" fillId="9" borderId="57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21" fillId="0" borderId="53" xfId="0" applyFont="1" applyBorder="1" applyAlignment="1">
      <alignment horizontal="left"/>
    </xf>
    <xf numFmtId="0" fontId="21" fillId="0" borderId="38" xfId="0" applyFont="1" applyBorder="1" applyAlignment="1">
      <alignment horizontal="left"/>
    </xf>
    <xf numFmtId="0" fontId="21" fillId="0" borderId="34" xfId="0" applyFont="1" applyBorder="1" applyAlignment="1">
      <alignment horizontal="left"/>
    </xf>
    <xf numFmtId="0" fontId="11" fillId="6" borderId="53" xfId="0" applyFont="1" applyFill="1" applyBorder="1" applyAlignment="1">
      <alignment horizontal="center" vertical="center"/>
    </xf>
    <xf numFmtId="0" fontId="11" fillId="6" borderId="38" xfId="0" applyFont="1" applyFill="1" applyBorder="1" applyAlignment="1">
      <alignment horizontal="center" vertical="center"/>
    </xf>
    <xf numFmtId="0" fontId="11" fillId="6" borderId="34" xfId="0" applyFont="1" applyFill="1" applyBorder="1" applyAlignment="1">
      <alignment horizontal="center" vertical="center"/>
    </xf>
    <xf numFmtId="0" fontId="7" fillId="5" borderId="54" xfId="0" applyFont="1" applyFill="1" applyBorder="1" applyAlignment="1">
      <alignment horizontal="center" vertical="center"/>
    </xf>
    <xf numFmtId="0" fontId="7" fillId="5" borderId="5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7" fillId="9" borderId="56" xfId="0" applyFont="1" applyFill="1" applyBorder="1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7" fillId="9" borderId="55" xfId="0" applyFont="1" applyFill="1" applyBorder="1" applyAlignment="1">
      <alignment horizontal="center" vertical="center"/>
    </xf>
    <xf numFmtId="166" fontId="3" fillId="11" borderId="2" xfId="1" applyNumberFormat="1" applyFont="1" applyFill="1" applyBorder="1" applyAlignment="1">
      <alignment vertical="center"/>
    </xf>
    <xf numFmtId="164" fontId="3" fillId="11" borderId="2" xfId="1" applyNumberFormat="1" applyFont="1" applyFill="1" applyBorder="1" applyAlignment="1">
      <alignment vertical="center"/>
    </xf>
    <xf numFmtId="164" fontId="3" fillId="11" borderId="4" xfId="1" applyNumberFormat="1" applyFont="1" applyFill="1" applyBorder="1" applyAlignment="1">
      <alignment vertical="center"/>
    </xf>
    <xf numFmtId="165" fontId="3" fillId="11" borderId="4" xfId="1" applyNumberFormat="1" applyFont="1" applyFill="1" applyBorder="1" applyAlignment="1">
      <alignment horizontal="right" vertical="center"/>
    </xf>
    <xf numFmtId="168" fontId="3" fillId="11" borderId="4" xfId="1" applyNumberFormat="1" applyFont="1" applyFill="1" applyBorder="1" applyAlignment="1">
      <alignment vertical="center"/>
    </xf>
    <xf numFmtId="164" fontId="3" fillId="11" borderId="4" xfId="1" applyFont="1" applyFill="1" applyBorder="1" applyAlignment="1">
      <alignment vertical="center"/>
    </xf>
    <xf numFmtId="164" fontId="3" fillId="11" borderId="4" xfId="1" applyNumberFormat="1" applyFont="1" applyFill="1" applyBorder="1" applyAlignment="1">
      <alignment horizontal="right" vertical="center"/>
    </xf>
    <xf numFmtId="166" fontId="3" fillId="11" borderId="12" xfId="1" applyNumberFormat="1" applyFont="1" applyFill="1" applyBorder="1" applyAlignment="1">
      <alignment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1"/>
  <sheetViews>
    <sheetView tabSelected="1" topLeftCell="A21" zoomScaleNormal="100" workbookViewId="0">
      <selection activeCell="E50" sqref="E50"/>
    </sheetView>
  </sheetViews>
  <sheetFormatPr baseColWidth="10" defaultRowHeight="12.75" x14ac:dyDescent="0.2"/>
  <cols>
    <col min="1" max="1" width="4.140625" customWidth="1"/>
    <col min="2" max="2" width="57.28515625" customWidth="1"/>
    <col min="3" max="3" width="47.7109375" customWidth="1"/>
    <col min="4" max="4" width="14.42578125" bestFit="1" customWidth="1"/>
    <col min="5" max="5" width="14.5703125" bestFit="1" customWidth="1"/>
    <col min="6" max="6" width="19.85546875" customWidth="1"/>
  </cols>
  <sheetData>
    <row r="1" spans="1:7" ht="18" x14ac:dyDescent="0.25">
      <c r="A1" s="144" t="s">
        <v>129</v>
      </c>
      <c r="B1" s="144"/>
      <c r="C1" s="144"/>
      <c r="D1" s="144"/>
      <c r="E1" s="144"/>
      <c r="F1" s="144"/>
      <c r="G1" s="144"/>
    </row>
    <row r="2" spans="1:7" ht="14.25" x14ac:dyDescent="0.2">
      <c r="A2" s="132" t="s">
        <v>49</v>
      </c>
      <c r="B2" s="132"/>
    </row>
    <row r="3" spans="1:7" ht="13.5" thickBot="1" x14ac:dyDescent="0.25"/>
    <row r="4" spans="1:7" ht="18.75" thickBot="1" x14ac:dyDescent="0.3">
      <c r="A4" s="134"/>
      <c r="B4" s="133" t="s">
        <v>41</v>
      </c>
      <c r="C4" s="135"/>
      <c r="D4" s="145" t="s">
        <v>34</v>
      </c>
      <c r="E4" s="146"/>
      <c r="F4" s="147"/>
    </row>
    <row r="5" spans="1:7" ht="18" x14ac:dyDescent="0.25">
      <c r="A5" s="134"/>
      <c r="B5" s="133" t="s">
        <v>127</v>
      </c>
      <c r="C5" s="135"/>
      <c r="D5" s="134"/>
      <c r="E5" s="134"/>
      <c r="F5" s="134"/>
    </row>
    <row r="6" spans="1:7" ht="18.75" thickBot="1" x14ac:dyDescent="0.3">
      <c r="A6" s="134"/>
      <c r="B6" s="133"/>
      <c r="C6" s="135"/>
      <c r="D6" s="134"/>
      <c r="E6" s="134"/>
      <c r="F6" s="134"/>
    </row>
    <row r="7" spans="1:7" ht="18" customHeight="1" thickBot="1" x14ac:dyDescent="0.25">
      <c r="A7" s="148" t="s">
        <v>46</v>
      </c>
      <c r="B7" s="149"/>
      <c r="C7" s="150"/>
      <c r="D7" s="37" t="s">
        <v>24</v>
      </c>
      <c r="E7" s="37" t="s">
        <v>25</v>
      </c>
      <c r="F7" s="38" t="s">
        <v>20</v>
      </c>
    </row>
    <row r="8" spans="1:7" ht="18" customHeight="1" x14ac:dyDescent="0.2">
      <c r="A8" s="68" t="s">
        <v>38</v>
      </c>
      <c r="B8" s="69" t="s">
        <v>0</v>
      </c>
      <c r="C8" s="45"/>
      <c r="D8" s="4" t="s">
        <v>91</v>
      </c>
      <c r="E8" s="158">
        <v>803</v>
      </c>
      <c r="F8" s="5" t="s">
        <v>1</v>
      </c>
    </row>
    <row r="9" spans="1:7" ht="18" customHeight="1" x14ac:dyDescent="0.2">
      <c r="A9" s="108">
        <f>A8+1</f>
        <v>2</v>
      </c>
      <c r="B9" s="46" t="s">
        <v>50</v>
      </c>
      <c r="C9" s="98"/>
      <c r="D9" s="6" t="s">
        <v>92</v>
      </c>
      <c r="E9" s="159">
        <v>23.85</v>
      </c>
      <c r="F9" s="5" t="s">
        <v>2</v>
      </c>
    </row>
    <row r="10" spans="1:7" ht="18" customHeight="1" x14ac:dyDescent="0.2">
      <c r="A10" s="108">
        <f t="shared" ref="A10:A24" si="0">A9+1</f>
        <v>3</v>
      </c>
      <c r="B10" s="46" t="s">
        <v>51</v>
      </c>
      <c r="C10" s="98"/>
      <c r="D10" s="6" t="s">
        <v>93</v>
      </c>
      <c r="E10" s="159">
        <v>47.7</v>
      </c>
      <c r="F10" s="5" t="s">
        <v>2</v>
      </c>
    </row>
    <row r="11" spans="1:7" ht="18" customHeight="1" x14ac:dyDescent="0.2">
      <c r="A11" s="108">
        <f t="shared" si="0"/>
        <v>4</v>
      </c>
      <c r="B11" s="46" t="s">
        <v>52</v>
      </c>
      <c r="C11" s="153" t="s">
        <v>42</v>
      </c>
      <c r="D11" s="39" t="s">
        <v>128</v>
      </c>
      <c r="E11" s="159">
        <v>7.95</v>
      </c>
      <c r="F11" s="5" t="s">
        <v>2</v>
      </c>
    </row>
    <row r="12" spans="1:7" ht="18" customHeight="1" x14ac:dyDescent="0.2">
      <c r="A12" s="108">
        <f t="shared" si="0"/>
        <v>5</v>
      </c>
      <c r="B12" s="46" t="s">
        <v>53</v>
      </c>
      <c r="C12" s="153"/>
      <c r="D12" s="6" t="s">
        <v>94</v>
      </c>
      <c r="E12" s="160">
        <v>0.9</v>
      </c>
      <c r="F12" s="7" t="s">
        <v>4</v>
      </c>
    </row>
    <row r="13" spans="1:7" ht="18" customHeight="1" x14ac:dyDescent="0.2">
      <c r="A13" s="108">
        <f t="shared" si="0"/>
        <v>6</v>
      </c>
      <c r="B13" s="47" t="s">
        <v>54</v>
      </c>
      <c r="C13" s="45"/>
      <c r="D13" s="6" t="s">
        <v>95</v>
      </c>
      <c r="E13" s="161">
        <v>37</v>
      </c>
      <c r="F13" s="8" t="s">
        <v>3</v>
      </c>
    </row>
    <row r="14" spans="1:7" ht="18" customHeight="1" x14ac:dyDescent="0.2">
      <c r="A14" s="108">
        <f t="shared" si="0"/>
        <v>7</v>
      </c>
      <c r="B14" s="47" t="s">
        <v>55</v>
      </c>
      <c r="C14" s="154" t="s">
        <v>21</v>
      </c>
      <c r="D14" s="6" t="s">
        <v>96</v>
      </c>
      <c r="E14" s="160">
        <v>1.26</v>
      </c>
      <c r="F14" s="7" t="s">
        <v>4</v>
      </c>
    </row>
    <row r="15" spans="1:7" ht="18" customHeight="1" x14ac:dyDescent="0.2">
      <c r="A15" s="108">
        <f t="shared" si="0"/>
        <v>8</v>
      </c>
      <c r="B15" s="97" t="s">
        <v>98</v>
      </c>
      <c r="C15" s="154"/>
      <c r="D15" s="136" t="s">
        <v>97</v>
      </c>
      <c r="E15" s="162">
        <v>2.8999999999999998E-3</v>
      </c>
      <c r="F15" s="7" t="s">
        <v>13</v>
      </c>
    </row>
    <row r="16" spans="1:7" ht="18" customHeight="1" x14ac:dyDescent="0.2">
      <c r="A16" s="108">
        <f t="shared" si="0"/>
        <v>9</v>
      </c>
      <c r="B16" s="47" t="s">
        <v>35</v>
      </c>
      <c r="C16" s="98"/>
      <c r="D16" s="6" t="s">
        <v>99</v>
      </c>
      <c r="E16" s="163">
        <v>105</v>
      </c>
      <c r="F16" s="8" t="s">
        <v>5</v>
      </c>
    </row>
    <row r="17" spans="1:6" ht="18" customHeight="1" x14ac:dyDescent="0.2">
      <c r="A17" s="108">
        <f t="shared" si="0"/>
        <v>10</v>
      </c>
      <c r="B17" s="47" t="s">
        <v>36</v>
      </c>
      <c r="C17" s="98"/>
      <c r="D17" s="6" t="s">
        <v>100</v>
      </c>
      <c r="E17" s="164">
        <v>37.700000000000003</v>
      </c>
      <c r="F17" s="8" t="s">
        <v>5</v>
      </c>
    </row>
    <row r="18" spans="1:6" ht="18" customHeight="1" x14ac:dyDescent="0.2">
      <c r="A18" s="108">
        <f t="shared" si="0"/>
        <v>11</v>
      </c>
      <c r="B18" s="47" t="s">
        <v>45</v>
      </c>
      <c r="C18" s="98"/>
      <c r="D18" s="6" t="s">
        <v>101</v>
      </c>
      <c r="E18" s="163">
        <v>49.35</v>
      </c>
      <c r="F18" s="8" t="s">
        <v>5</v>
      </c>
    </row>
    <row r="19" spans="1:6" ht="18" customHeight="1" x14ac:dyDescent="0.2">
      <c r="A19" s="108">
        <f t="shared" si="0"/>
        <v>12</v>
      </c>
      <c r="B19" s="47" t="s">
        <v>7</v>
      </c>
      <c r="C19" s="45"/>
      <c r="D19" s="6" t="s">
        <v>102</v>
      </c>
      <c r="E19" s="163">
        <v>2.2999999999999998</v>
      </c>
      <c r="F19" s="8" t="s">
        <v>5</v>
      </c>
    </row>
    <row r="20" spans="1:6" ht="18" customHeight="1" thickBot="1" x14ac:dyDescent="0.25">
      <c r="A20" s="109">
        <f t="shared" si="0"/>
        <v>13</v>
      </c>
      <c r="B20" s="48" t="s">
        <v>56</v>
      </c>
      <c r="C20" s="45"/>
      <c r="D20" s="39" t="s">
        <v>103</v>
      </c>
      <c r="E20" s="165">
        <v>585</v>
      </c>
      <c r="F20" s="40" t="s">
        <v>6</v>
      </c>
    </row>
    <row r="21" spans="1:6" ht="18" customHeight="1" x14ac:dyDescent="0.2">
      <c r="A21" s="110">
        <f t="shared" si="0"/>
        <v>14</v>
      </c>
      <c r="B21" s="99" t="s">
        <v>57</v>
      </c>
      <c r="C21" s="155" t="s">
        <v>43</v>
      </c>
      <c r="D21" s="100" t="s">
        <v>104</v>
      </c>
      <c r="E21" s="101">
        <f>E9+E10+E11</f>
        <v>79.500000000000014</v>
      </c>
      <c r="F21" s="141" t="s">
        <v>2</v>
      </c>
    </row>
    <row r="22" spans="1:6" ht="18" customHeight="1" x14ac:dyDescent="0.2">
      <c r="A22" s="111">
        <f t="shared" si="0"/>
        <v>15</v>
      </c>
      <c r="B22" s="102" t="s">
        <v>69</v>
      </c>
      <c r="C22" s="156"/>
      <c r="D22" s="103" t="s">
        <v>105</v>
      </c>
      <c r="E22" s="104">
        <f>IF(E21&gt;0,E9/$E$21*100,0)</f>
        <v>30</v>
      </c>
      <c r="F22" s="142" t="s">
        <v>9</v>
      </c>
    </row>
    <row r="23" spans="1:6" ht="18" customHeight="1" x14ac:dyDescent="0.2">
      <c r="A23" s="111">
        <f t="shared" si="0"/>
        <v>16</v>
      </c>
      <c r="B23" s="102" t="s">
        <v>70</v>
      </c>
      <c r="C23" s="156"/>
      <c r="D23" s="103" t="s">
        <v>106</v>
      </c>
      <c r="E23" s="104">
        <f>IF(E21&gt;0,E10/$E$21*100,0)</f>
        <v>60</v>
      </c>
      <c r="F23" s="142" t="s">
        <v>9</v>
      </c>
    </row>
    <row r="24" spans="1:6" ht="18" customHeight="1" thickBot="1" x14ac:dyDescent="0.25">
      <c r="A24" s="112">
        <f t="shared" si="0"/>
        <v>17</v>
      </c>
      <c r="B24" s="105" t="s">
        <v>71</v>
      </c>
      <c r="C24" s="157"/>
      <c r="D24" s="106" t="s">
        <v>107</v>
      </c>
      <c r="E24" s="107">
        <f>IF(E21&gt;0,E11/$E$21*100,0)</f>
        <v>9.9999999999999982</v>
      </c>
      <c r="F24" s="143" t="s">
        <v>9</v>
      </c>
    </row>
    <row r="25" spans="1:6" ht="18" customHeight="1" thickTop="1" x14ac:dyDescent="0.2">
      <c r="A25" s="79">
        <f>A24+1</f>
        <v>18</v>
      </c>
      <c r="B25" s="119" t="s">
        <v>31</v>
      </c>
      <c r="C25" s="151" t="s">
        <v>30</v>
      </c>
      <c r="D25" s="122" t="s">
        <v>108</v>
      </c>
      <c r="E25" s="123">
        <v>107</v>
      </c>
      <c r="F25" s="124" t="s">
        <v>6</v>
      </c>
    </row>
    <row r="26" spans="1:6" ht="18" customHeight="1" thickBot="1" x14ac:dyDescent="0.25">
      <c r="A26" s="80">
        <f>A25+1</f>
        <v>19</v>
      </c>
      <c r="B26" s="120" t="s">
        <v>29</v>
      </c>
      <c r="C26" s="152"/>
      <c r="D26" s="125" t="s">
        <v>109</v>
      </c>
      <c r="E26" s="126">
        <v>70</v>
      </c>
      <c r="F26" s="127" t="s">
        <v>6</v>
      </c>
    </row>
    <row r="27" spans="1:6" ht="18" customHeight="1" thickTop="1" x14ac:dyDescent="0.2">
      <c r="A27" s="70">
        <f>A26+1</f>
        <v>20</v>
      </c>
      <c r="B27" s="51" t="s">
        <v>33</v>
      </c>
      <c r="C27" s="9" t="s">
        <v>85</v>
      </c>
      <c r="D27" s="10" t="s">
        <v>110</v>
      </c>
      <c r="E27" s="57">
        <f>E16-E17-E19</f>
        <v>65</v>
      </c>
      <c r="F27" s="58" t="s">
        <v>5</v>
      </c>
    </row>
    <row r="28" spans="1:6" ht="18" customHeight="1" x14ac:dyDescent="0.2">
      <c r="A28" s="71">
        <f t="shared" ref="A28:A45" si="1">A27+1</f>
        <v>21</v>
      </c>
      <c r="B28" s="49" t="s">
        <v>58</v>
      </c>
      <c r="C28" s="14" t="s">
        <v>72</v>
      </c>
      <c r="D28" s="12" t="s">
        <v>111</v>
      </c>
      <c r="E28" s="13">
        <f>E27/E21</f>
        <v>0.81761006289308158</v>
      </c>
      <c r="F28" s="3" t="s">
        <v>32</v>
      </c>
    </row>
    <row r="29" spans="1:6" ht="18" customHeight="1" x14ac:dyDescent="0.2">
      <c r="A29" s="71">
        <f t="shared" si="1"/>
        <v>22</v>
      </c>
      <c r="B29" s="49" t="s">
        <v>10</v>
      </c>
      <c r="C29" s="11" t="s">
        <v>86</v>
      </c>
      <c r="D29" s="12" t="s">
        <v>112</v>
      </c>
      <c r="E29" s="13">
        <f>E17/E21</f>
        <v>0.47421383647798737</v>
      </c>
      <c r="F29" s="3" t="s">
        <v>32</v>
      </c>
    </row>
    <row r="30" spans="1:6" ht="18" customHeight="1" x14ac:dyDescent="0.2">
      <c r="A30" s="71">
        <f t="shared" si="1"/>
        <v>23</v>
      </c>
      <c r="B30" s="49" t="s">
        <v>11</v>
      </c>
      <c r="C30" s="15" t="s">
        <v>84</v>
      </c>
      <c r="D30" s="12" t="s">
        <v>113</v>
      </c>
      <c r="E30" s="16">
        <f>MAX(0.5+50/(E13+100),0.885)</f>
        <v>0.88500000000000001</v>
      </c>
      <c r="F30" s="17" t="s">
        <v>4</v>
      </c>
    </row>
    <row r="31" spans="1:6" ht="18" customHeight="1" x14ac:dyDescent="0.2">
      <c r="A31" s="71">
        <f t="shared" si="1"/>
        <v>24</v>
      </c>
      <c r="B31" s="49" t="s">
        <v>59</v>
      </c>
      <c r="C31" s="11" t="s">
        <v>73</v>
      </c>
      <c r="D31" s="12" t="s">
        <v>114</v>
      </c>
      <c r="E31" s="18">
        <f>E30*(3*E21*E12+3.2*E27)</f>
        <v>374.04525000000007</v>
      </c>
      <c r="F31" s="3" t="s">
        <v>5</v>
      </c>
    </row>
    <row r="32" spans="1:6" ht="18" customHeight="1" thickBot="1" x14ac:dyDescent="0.25">
      <c r="A32" s="73">
        <f t="shared" si="1"/>
        <v>25</v>
      </c>
      <c r="B32" s="50" t="s">
        <v>60</v>
      </c>
      <c r="C32" s="19" t="s">
        <v>74</v>
      </c>
      <c r="D32" s="137" t="s">
        <v>13</v>
      </c>
      <c r="E32" s="20">
        <f>IF(E17&gt;0,(E31+E19)/E17,0.0001)</f>
        <v>9.9826326259946967</v>
      </c>
      <c r="F32" s="21" t="s">
        <v>19</v>
      </c>
    </row>
    <row r="33" spans="1:6" ht="18" customHeight="1" thickTop="1" x14ac:dyDescent="0.2">
      <c r="A33" s="70">
        <f t="shared" si="1"/>
        <v>26</v>
      </c>
      <c r="B33" s="51" t="s">
        <v>22</v>
      </c>
      <c r="C33" s="9" t="s">
        <v>83</v>
      </c>
      <c r="D33" s="10" t="s">
        <v>115</v>
      </c>
      <c r="E33" s="22">
        <f>MAX(E20/600,1)</f>
        <v>1</v>
      </c>
      <c r="F33" s="23" t="s">
        <v>4</v>
      </c>
    </row>
    <row r="34" spans="1:6" ht="18" customHeight="1" x14ac:dyDescent="0.2">
      <c r="A34" s="71">
        <f t="shared" si="1"/>
        <v>27</v>
      </c>
      <c r="B34" s="49" t="s">
        <v>12</v>
      </c>
      <c r="C34" s="11" t="s">
        <v>82</v>
      </c>
      <c r="D34" s="12" t="s">
        <v>116</v>
      </c>
      <c r="E34" s="24">
        <f>MIN(MAX(E8/800-1,-0.25),0.25)</f>
        <v>3.7499999999999201E-3</v>
      </c>
      <c r="F34" s="17" t="s">
        <v>4</v>
      </c>
    </row>
    <row r="35" spans="1:6" ht="18" customHeight="1" x14ac:dyDescent="0.2">
      <c r="A35" s="71">
        <f t="shared" si="1"/>
        <v>28</v>
      </c>
      <c r="B35" s="49" t="s">
        <v>61</v>
      </c>
      <c r="C35" s="11" t="s">
        <v>75</v>
      </c>
      <c r="D35" s="12" t="s">
        <v>117</v>
      </c>
      <c r="E35" s="24">
        <f>IF(E18&gt;0,24*E17/E18,0)</f>
        <v>18.334346504559271</v>
      </c>
      <c r="F35" s="3" t="s">
        <v>19</v>
      </c>
    </row>
    <row r="36" spans="1:6" ht="18" customHeight="1" x14ac:dyDescent="0.2">
      <c r="A36" s="71">
        <f t="shared" si="1"/>
        <v>29</v>
      </c>
      <c r="B36" s="49" t="s">
        <v>62</v>
      </c>
      <c r="C36" s="11" t="s">
        <v>88</v>
      </c>
      <c r="D36" s="138" t="s">
        <v>97</v>
      </c>
      <c r="E36" s="25">
        <f>IF(E15&gt;0,E15,0.001*(1+2*(E14-1)))</f>
        <v>2.8999999999999998E-3</v>
      </c>
      <c r="F36" s="17" t="s">
        <v>4</v>
      </c>
    </row>
    <row r="37" spans="1:6" ht="18" customHeight="1" x14ac:dyDescent="0.2">
      <c r="A37" s="71">
        <f t="shared" si="1"/>
        <v>30</v>
      </c>
      <c r="B37" s="49" t="s">
        <v>23</v>
      </c>
      <c r="C37" s="11" t="s">
        <v>87</v>
      </c>
      <c r="D37" s="139" t="s">
        <v>27</v>
      </c>
      <c r="E37" s="26">
        <f>430*(E29/E12)^0.45*E36</f>
        <v>0.93464292736652743</v>
      </c>
      <c r="F37" s="17" t="s">
        <v>4</v>
      </c>
    </row>
    <row r="38" spans="1:6" ht="18" customHeight="1" thickBot="1" x14ac:dyDescent="0.25">
      <c r="A38" s="74">
        <f t="shared" si="1"/>
        <v>31</v>
      </c>
      <c r="B38" s="61" t="s">
        <v>8</v>
      </c>
      <c r="C38" s="62" t="s">
        <v>126</v>
      </c>
      <c r="D38" s="63" t="s">
        <v>118</v>
      </c>
      <c r="E38" s="60">
        <f>IF(E35&gt;0,(24/E35)^2*(2-E37)/10,0)</f>
        <v>0.18255208896324418</v>
      </c>
      <c r="F38" s="64" t="s">
        <v>4</v>
      </c>
    </row>
    <row r="39" spans="1:6" ht="18" customHeight="1" thickBot="1" x14ac:dyDescent="0.25">
      <c r="A39" s="81">
        <f t="shared" si="1"/>
        <v>32</v>
      </c>
      <c r="B39" s="91" t="s">
        <v>37</v>
      </c>
      <c r="C39" s="65" t="s">
        <v>76</v>
      </c>
      <c r="D39" s="66" t="s">
        <v>119</v>
      </c>
      <c r="E39" s="67">
        <f>600*(E33+E34+E38)</f>
        <v>711.78125337794643</v>
      </c>
      <c r="F39" s="92" t="s">
        <v>6</v>
      </c>
    </row>
    <row r="40" spans="1:6" ht="18" customHeight="1" x14ac:dyDescent="0.2">
      <c r="A40" s="75">
        <f>A39+1</f>
        <v>33</v>
      </c>
      <c r="B40" s="76" t="s">
        <v>63</v>
      </c>
      <c r="C40" s="77" t="s">
        <v>77</v>
      </c>
      <c r="D40" s="78" t="s">
        <v>120</v>
      </c>
      <c r="E40" s="83">
        <f>(E22*280+E23*530+E24*760)*0.01</f>
        <v>478</v>
      </c>
      <c r="F40" s="93" t="s">
        <v>40</v>
      </c>
    </row>
    <row r="41" spans="1:6" ht="18" customHeight="1" thickBot="1" x14ac:dyDescent="0.25">
      <c r="A41" s="82">
        <f>A40+1</f>
        <v>34</v>
      </c>
      <c r="B41" s="86" t="s">
        <v>39</v>
      </c>
      <c r="C41" s="87" t="s">
        <v>89</v>
      </c>
      <c r="D41" s="88" t="s">
        <v>121</v>
      </c>
      <c r="E41" s="89">
        <f>MIN(MAX(1,E40/478),1.2)</f>
        <v>1</v>
      </c>
      <c r="F41" s="90" t="s">
        <v>4</v>
      </c>
    </row>
    <row r="42" spans="1:6" ht="18" customHeight="1" x14ac:dyDescent="0.2">
      <c r="A42" s="84">
        <f>A41+1</f>
        <v>35</v>
      </c>
      <c r="B42" s="94" t="s">
        <v>64</v>
      </c>
      <c r="C42" s="30" t="s">
        <v>78</v>
      </c>
      <c r="D42" s="31" t="s">
        <v>122</v>
      </c>
      <c r="E42" s="85">
        <f>(E25*E41*E32+E39)/(E32+1)</f>
        <v>162.06705668607134</v>
      </c>
      <c r="F42" s="33" t="s">
        <v>6</v>
      </c>
    </row>
    <row r="43" spans="1:6" ht="18" customHeight="1" thickBot="1" x14ac:dyDescent="0.25">
      <c r="A43" s="56">
        <f t="shared" si="1"/>
        <v>36</v>
      </c>
      <c r="B43" s="95" t="s">
        <v>65</v>
      </c>
      <c r="C43" s="41" t="s">
        <v>48</v>
      </c>
      <c r="D43" s="42" t="s">
        <v>47</v>
      </c>
      <c r="E43" s="43">
        <f>(E25-E26)/(E42-E26)*100</f>
        <v>40.188099122319031</v>
      </c>
      <c r="F43" s="96" t="s">
        <v>9</v>
      </c>
    </row>
    <row r="44" spans="1:6" ht="18" customHeight="1" x14ac:dyDescent="0.2">
      <c r="A44" s="72">
        <f>A43+1</f>
        <v>37</v>
      </c>
      <c r="B44" s="53" t="s">
        <v>16</v>
      </c>
      <c r="C44" s="30" t="s">
        <v>79</v>
      </c>
      <c r="D44" s="31" t="s">
        <v>14</v>
      </c>
      <c r="E44" s="32">
        <f>(4000+25*$E$28/$E$12)/(0.551+$E$28/$E$12)</f>
        <v>2756.3094900073315</v>
      </c>
      <c r="F44" s="33" t="s">
        <v>19</v>
      </c>
    </row>
    <row r="45" spans="1:6" ht="18" customHeight="1" x14ac:dyDescent="0.2">
      <c r="A45" s="55">
        <f t="shared" si="1"/>
        <v>38</v>
      </c>
      <c r="B45" s="52" t="s">
        <v>17</v>
      </c>
      <c r="C45" s="27" t="s">
        <v>90</v>
      </c>
      <c r="D45" s="28" t="s">
        <v>15</v>
      </c>
      <c r="E45" s="36">
        <f>(36.8+13.5*$E$28/$E$12)/(0.5+$E$28/$E$12)</f>
        <v>34.835425452741255</v>
      </c>
      <c r="F45" s="29" t="s">
        <v>19</v>
      </c>
    </row>
    <row r="46" spans="1:6" ht="18" customHeight="1" x14ac:dyDescent="0.2">
      <c r="A46" s="113">
        <v>39</v>
      </c>
      <c r="B46" s="121" t="s">
        <v>66</v>
      </c>
      <c r="C46" s="128" t="s">
        <v>80</v>
      </c>
      <c r="D46" s="129" t="s">
        <v>123</v>
      </c>
      <c r="E46" s="130">
        <v>5</v>
      </c>
      <c r="F46" s="131" t="s">
        <v>44</v>
      </c>
    </row>
    <row r="47" spans="1:6" ht="18" customHeight="1" thickBot="1" x14ac:dyDescent="0.25">
      <c r="A47" s="55">
        <v>40</v>
      </c>
      <c r="B47" s="54" t="s">
        <v>67</v>
      </c>
      <c r="C47" s="44" t="s">
        <v>81</v>
      </c>
      <c r="D47" s="34" t="s">
        <v>124</v>
      </c>
      <c r="E47" s="35">
        <f>MAX($E$44/($E$43+6)-$E$45,$E46)</f>
        <v>24.840325279235209</v>
      </c>
      <c r="F47" s="1" t="s">
        <v>28</v>
      </c>
    </row>
    <row r="48" spans="1:6" ht="18" customHeight="1" thickTop="1" thickBot="1" x14ac:dyDescent="0.25">
      <c r="A48" s="114">
        <f>A47+1</f>
        <v>41</v>
      </c>
      <c r="B48" s="115" t="s">
        <v>68</v>
      </c>
      <c r="C48" s="116" t="s">
        <v>125</v>
      </c>
      <c r="D48" s="140" t="s">
        <v>18</v>
      </c>
      <c r="E48" s="117">
        <f>MAX($E$47,$E46)*$E$21*$E$12</f>
        <v>1777.3252737292796</v>
      </c>
      <c r="F48" s="118" t="s">
        <v>26</v>
      </c>
    </row>
    <row r="49" spans="3:3" ht="13.5" thickTop="1" x14ac:dyDescent="0.2"/>
    <row r="50" spans="3:3" ht="15.75" x14ac:dyDescent="0.2">
      <c r="C50" s="2"/>
    </row>
    <row r="51" spans="3:3" x14ac:dyDescent="0.2">
      <c r="C51" s="59"/>
    </row>
  </sheetData>
  <mergeCells count="7">
    <mergeCell ref="A1:G1"/>
    <mergeCell ref="D4:F4"/>
    <mergeCell ref="A7:C7"/>
    <mergeCell ref="C25:C26"/>
    <mergeCell ref="C11:C12"/>
    <mergeCell ref="C14:C15"/>
    <mergeCell ref="C21:C24"/>
  </mergeCells>
  <pageMargins left="0.7" right="0.7" top="0.78740157499999996" bottom="0.78740157499999996" header="0.3" footer="0.3"/>
  <pageSetup paperSize="9" scale="77" orientation="landscape" horizontalDpi="4294967293" verticalDpi="4294967293" r:id="rId1"/>
  <ignoredErrors>
    <ignoredError sqref="A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EZG KA</vt:lpstr>
      <vt:lpstr>'EZG KA'!Druckbereich</vt:lpstr>
    </vt:vector>
  </TitlesOfParts>
  <Company>Kreisverwaltung Mettmann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Bürgel</dc:creator>
  <cp:lastModifiedBy>Meiser</cp:lastModifiedBy>
  <cp:lastPrinted>2019-07-16T16:15:28Z</cp:lastPrinted>
  <dcterms:created xsi:type="dcterms:W3CDTF">2012-03-01T12:48:58Z</dcterms:created>
  <dcterms:modified xsi:type="dcterms:W3CDTF">2022-06-27T12:58:43Z</dcterms:modified>
</cp:coreProperties>
</file>