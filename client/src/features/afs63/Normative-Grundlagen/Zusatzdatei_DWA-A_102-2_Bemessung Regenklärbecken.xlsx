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 Tabelle 7 Zusatzdatei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<sst xmlns="http://schemas.openxmlformats.org/spreadsheetml/2006/main" count="54" uniqueCount="49">
  <si>
    <t xml:space="preserve">Zusatzdatei "Anwendungsbeispiel zur Arbeits-/Merkblattreihe DWA-A/M 102 (BWK-A/M 3)": Berechnungshilfe </t>
  </si>
  <si>
    <t xml:space="preserve">Stand: 10/2021</t>
  </si>
  <si>
    <t xml:space="preserve">Bemessung nicht ständig gefüllter Regenklärbecken (Bild 4, DWA-A 102-2), Entleerung nach Regenende</t>
  </si>
  <si>
    <t xml:space="preserve">Angeschlossene befestigte Einzugsgebietsfläche Kategorie I</t>
  </si>
  <si>
    <t xml:space="preserve">Eingabedaten</t>
  </si>
  <si>
    <r>
      <rPr>
        <i val="true"/>
        <sz val="10"/>
        <rFont val="Arial"/>
        <family val="2"/>
        <charset val="1"/>
      </rPr>
      <t xml:space="preserve">A</t>
    </r>
    <r>
      <rPr>
        <vertAlign val="subscript"/>
        <sz val="10"/>
        <rFont val="Arial"/>
        <family val="2"/>
        <charset val="1"/>
      </rPr>
      <t xml:space="preserve">b,a,I</t>
    </r>
  </si>
  <si>
    <t xml:space="preserve">ha</t>
  </si>
  <si>
    <t xml:space="preserve">Angeschlossene befestigte Einzugsgebietsfläche Kategorie II</t>
  </si>
  <si>
    <r>
      <rPr>
        <i val="true"/>
        <sz val="10"/>
        <rFont val="Arial"/>
        <family val="2"/>
        <charset val="1"/>
      </rPr>
      <t xml:space="preserve">A</t>
    </r>
    <r>
      <rPr>
        <vertAlign val="subscript"/>
        <sz val="10"/>
        <rFont val="Arial"/>
        <family val="2"/>
        <charset val="1"/>
      </rPr>
      <t xml:space="preserve">b,a,II</t>
    </r>
  </si>
  <si>
    <t xml:space="preserve">Angeschlossene befestigte Einzugsgebietsfläche Kategorie III</t>
  </si>
  <si>
    <r>
      <rPr>
        <i val="true"/>
        <sz val="10"/>
        <rFont val="Arial"/>
        <family val="2"/>
        <charset val="1"/>
      </rPr>
      <t xml:space="preserve">A</t>
    </r>
    <r>
      <rPr>
        <vertAlign val="subscript"/>
        <sz val="10"/>
        <rFont val="Arial"/>
        <family val="2"/>
        <charset val="1"/>
      </rPr>
      <t xml:space="preserve">b,a,III</t>
    </r>
  </si>
  <si>
    <r>
      <rPr>
        <sz val="10"/>
        <rFont val="Arial"/>
        <family val="2"/>
        <charset val="1"/>
      </rPr>
      <t xml:space="preserve">Abminderungsfaktor undurchlässige Teilflächen in </t>
    </r>
    <r>
      <rPr>
        <i val="true"/>
        <sz val="10"/>
        <rFont val="Arial"/>
        <family val="2"/>
        <charset val="1"/>
      </rPr>
      <t xml:space="preserve">A</t>
    </r>
    <r>
      <rPr>
        <vertAlign val="subscript"/>
        <sz val="10"/>
        <rFont val="Arial"/>
        <family val="2"/>
        <charset val="1"/>
      </rPr>
      <t xml:space="preserve">b,a</t>
    </r>
  </si>
  <si>
    <r>
      <rPr>
        <i val="true"/>
        <sz val="10"/>
        <rFont val="Arial"/>
        <family val="2"/>
        <charset val="1"/>
      </rPr>
      <t xml:space="preserve">f</t>
    </r>
    <r>
      <rPr>
        <vertAlign val="subscript"/>
        <sz val="10"/>
        <rFont val="Arial"/>
        <family val="2"/>
        <charset val="1"/>
      </rPr>
      <t xml:space="preserve">D</t>
    </r>
  </si>
  <si>
    <t xml:space="preserve"> -</t>
  </si>
  <si>
    <t xml:space="preserve">Fremdwasserabfluss </t>
  </si>
  <si>
    <r>
      <rPr>
        <i val="true"/>
        <sz val="10"/>
        <rFont val="Arial"/>
        <family val="2"/>
        <charset val="1"/>
      </rPr>
      <t xml:space="preserve">Q</t>
    </r>
    <r>
      <rPr>
        <vertAlign val="subscript"/>
        <sz val="10"/>
        <rFont val="Arial"/>
        <family val="2"/>
        <charset val="1"/>
      </rPr>
      <t xml:space="preserve">F</t>
    </r>
  </si>
  <si>
    <t xml:space="preserve">l/s</t>
  </si>
  <si>
    <t xml:space="preserve">Kritische Regenspende </t>
  </si>
  <si>
    <t xml:space="preserve">Konstanten</t>
  </si>
  <si>
    <r>
      <rPr>
        <i val="true"/>
        <sz val="10"/>
        <rFont val="Arial"/>
        <family val="2"/>
        <charset val="1"/>
      </rPr>
      <t xml:space="preserve">r</t>
    </r>
    <r>
      <rPr>
        <vertAlign val="subscript"/>
        <sz val="10"/>
        <rFont val="Arial"/>
        <family val="2"/>
        <charset val="1"/>
      </rPr>
      <t xml:space="preserve">krit</t>
    </r>
  </si>
  <si>
    <t xml:space="preserve">l/(s·ha)</t>
  </si>
  <si>
    <t xml:space="preserve">Drosselabfluss zur Kläranlage</t>
  </si>
  <si>
    <r>
      <rPr>
        <i val="true"/>
        <sz val="10"/>
        <rFont val="Arial"/>
        <family val="2"/>
        <charset val="1"/>
      </rPr>
      <t xml:space="preserve">Q</t>
    </r>
    <r>
      <rPr>
        <vertAlign val="subscript"/>
        <sz val="10"/>
        <rFont val="Arial"/>
        <family val="2"/>
        <charset val="1"/>
      </rPr>
      <t xml:space="preserve">Dr</t>
    </r>
  </si>
  <si>
    <t xml:space="preserve">AFS63-Ablaufkonzentration der Kläranlage</t>
  </si>
  <si>
    <r>
      <rPr>
        <i val="true"/>
        <sz val="10"/>
        <rFont val="Arial"/>
        <family val="2"/>
        <charset val="1"/>
      </rPr>
      <t xml:space="preserve">c</t>
    </r>
    <r>
      <rPr>
        <vertAlign val="subscript"/>
        <sz val="10"/>
        <rFont val="Arial"/>
        <family val="2"/>
        <charset val="1"/>
      </rPr>
      <t xml:space="preserve">K,AFS63</t>
    </r>
  </si>
  <si>
    <t xml:space="preserve">mg/l</t>
  </si>
  <si>
    <t xml:space="preserve">Gesamte angeschlossene befestigte Einzugsgebietsfläche</t>
  </si>
  <si>
    <r>
      <rPr>
        <i val="true"/>
        <sz val="10"/>
        <rFont val="Arial"/>
        <family val="2"/>
        <charset val="1"/>
      </rPr>
      <t xml:space="preserve">A</t>
    </r>
    <r>
      <rPr>
        <vertAlign val="subscript"/>
        <sz val="10"/>
        <rFont val="Arial"/>
        <family val="2"/>
        <charset val="1"/>
      </rPr>
      <t xml:space="preserve">b,a </t>
    </r>
    <r>
      <rPr>
        <sz val="11"/>
        <color theme="1"/>
        <rFont val="Calibri"/>
        <family val="2"/>
        <charset val="1"/>
      </rPr>
      <t xml:space="preserve">= </t>
    </r>
    <r>
      <rPr>
        <i val="true"/>
        <sz val="11"/>
        <color theme="1"/>
        <rFont val="Calibri"/>
        <family val="2"/>
        <charset val="1"/>
      </rPr>
      <t xml:space="preserve">A</t>
    </r>
    <r>
      <rPr>
        <vertAlign val="subscript"/>
        <sz val="10"/>
        <rFont val="Arial"/>
        <family val="2"/>
        <charset val="1"/>
      </rPr>
      <t xml:space="preserve">b,a,I </t>
    </r>
    <r>
      <rPr>
        <sz val="11"/>
        <color theme="1"/>
        <rFont val="Calibri"/>
        <family val="2"/>
        <charset val="1"/>
      </rPr>
      <t xml:space="preserve">+ </t>
    </r>
    <r>
      <rPr>
        <i val="true"/>
        <sz val="11"/>
        <color theme="1"/>
        <rFont val="Calibri"/>
        <family val="2"/>
        <charset val="1"/>
      </rPr>
      <t xml:space="preserve">A</t>
    </r>
    <r>
      <rPr>
        <vertAlign val="subscript"/>
        <sz val="10"/>
        <rFont val="Arial"/>
        <family val="2"/>
        <charset val="1"/>
      </rPr>
      <t xml:space="preserve">b,a,II </t>
    </r>
    <r>
      <rPr>
        <sz val="11"/>
        <color theme="1"/>
        <rFont val="Calibri"/>
        <family val="2"/>
        <charset val="1"/>
      </rPr>
      <t xml:space="preserve">+ </t>
    </r>
    <r>
      <rPr>
        <i val="true"/>
        <sz val="11"/>
        <color theme="1"/>
        <rFont val="Calibri"/>
        <family val="2"/>
        <charset val="1"/>
      </rPr>
      <t xml:space="preserve">A</t>
    </r>
    <r>
      <rPr>
        <vertAlign val="subscript"/>
        <sz val="10"/>
        <rFont val="Arial"/>
        <family val="2"/>
        <charset val="1"/>
      </rPr>
      <t xml:space="preserve">b,a,III</t>
    </r>
  </si>
  <si>
    <r>
      <rPr>
        <i val="true"/>
        <sz val="10"/>
        <rFont val="Arial"/>
        <family val="2"/>
        <charset val="1"/>
      </rPr>
      <t xml:space="preserve">A</t>
    </r>
    <r>
      <rPr>
        <vertAlign val="subscript"/>
        <sz val="10"/>
        <rFont val="Arial"/>
        <family val="2"/>
        <charset val="1"/>
      </rPr>
      <t xml:space="preserve">b,a</t>
    </r>
  </si>
  <si>
    <t xml:space="preserve">Spezifische AFS63-Jahresfracht</t>
  </si>
  <si>
    <r>
      <rPr>
        <i val="true"/>
        <sz val="10"/>
        <rFont val="Arial"/>
        <family val="2"/>
        <charset val="1"/>
      </rPr>
      <t xml:space="preserve">b</t>
    </r>
    <r>
      <rPr>
        <vertAlign val="subscript"/>
        <sz val="10"/>
        <rFont val="Arial"/>
        <family val="2"/>
        <charset val="1"/>
      </rPr>
      <t xml:space="preserve">AFS63 </t>
    </r>
    <r>
      <rPr>
        <sz val="10"/>
        <rFont val="Arial"/>
        <family val="2"/>
        <charset val="1"/>
      </rPr>
      <t xml:space="preserve">= </t>
    </r>
    <r>
      <rPr>
        <i val="true"/>
        <sz val="10"/>
        <rFont val="Arial"/>
        <family val="2"/>
        <charset val="1"/>
      </rPr>
      <t xml:space="preserve">(A</t>
    </r>
    <r>
      <rPr>
        <vertAlign val="subscript"/>
        <sz val="10"/>
        <rFont val="Arial"/>
        <family val="2"/>
        <charset val="1"/>
      </rPr>
      <t xml:space="preserve">b,a,I </t>
    </r>
    <r>
      <rPr>
        <sz val="10"/>
        <rFont val="Arial"/>
        <family val="2"/>
        <charset val="1"/>
      </rPr>
      <t xml:space="preserve">· 280 + </t>
    </r>
    <r>
      <rPr>
        <i val="true"/>
        <sz val="10"/>
        <rFont val="Arial"/>
        <family val="2"/>
        <charset val="1"/>
      </rPr>
      <t xml:space="preserve">A</t>
    </r>
    <r>
      <rPr>
        <vertAlign val="subscript"/>
        <sz val="10"/>
        <rFont val="Arial"/>
        <family val="2"/>
        <charset val="1"/>
      </rPr>
      <t xml:space="preserve">b,a,II </t>
    </r>
    <r>
      <rPr>
        <sz val="10"/>
        <rFont val="Arial"/>
        <family val="2"/>
        <charset val="1"/>
      </rPr>
      <t xml:space="preserve">· 530 + </t>
    </r>
    <r>
      <rPr>
        <i val="true"/>
        <sz val="10"/>
        <rFont val="Arial"/>
        <family val="2"/>
        <charset val="1"/>
      </rPr>
      <t xml:space="preserve">A</t>
    </r>
    <r>
      <rPr>
        <vertAlign val="subscript"/>
        <sz val="10"/>
        <rFont val="Arial"/>
        <family val="2"/>
        <charset val="1"/>
      </rPr>
      <t xml:space="preserve">b,a,III </t>
    </r>
    <r>
      <rPr>
        <sz val="10"/>
        <rFont val="Arial"/>
        <family val="2"/>
        <charset val="1"/>
      </rPr>
      <t xml:space="preserve">· 760) / </t>
    </r>
    <r>
      <rPr>
        <i val="true"/>
        <sz val="10"/>
        <rFont val="Arial"/>
        <family val="2"/>
        <charset val="1"/>
      </rPr>
      <t xml:space="preserve">A</t>
    </r>
    <r>
      <rPr>
        <vertAlign val="subscript"/>
        <sz val="10"/>
        <rFont val="Arial"/>
        <family val="2"/>
        <charset val="1"/>
      </rPr>
      <t xml:space="preserve">b,a</t>
    </r>
  </si>
  <si>
    <r>
      <rPr>
        <i val="true"/>
        <sz val="10"/>
        <rFont val="Arial"/>
        <family val="2"/>
        <charset val="1"/>
      </rPr>
      <t xml:space="preserve">b</t>
    </r>
    <r>
      <rPr>
        <vertAlign val="subscript"/>
        <sz val="10"/>
        <rFont val="Arial"/>
        <family val="2"/>
        <charset val="1"/>
      </rPr>
      <t xml:space="preserve">a,AFS63</t>
    </r>
  </si>
  <si>
    <t xml:space="preserve">kg/(ha·a)</t>
  </si>
  <si>
    <t xml:space="preserve">Erforderlicher AFS63-Gesamtwirkungsgrad des RKB</t>
  </si>
  <si>
    <r>
      <rPr>
        <i val="true"/>
        <sz val="10"/>
        <rFont val="Arial"/>
        <family val="2"/>
        <charset val="1"/>
      </rPr>
      <t xml:space="preserve">ƞ</t>
    </r>
    <r>
      <rPr>
        <vertAlign val="subscript"/>
        <sz val="10"/>
        <rFont val="Arial"/>
        <family val="2"/>
        <charset val="1"/>
      </rPr>
      <t xml:space="preserve">ges,AFS63 </t>
    </r>
    <r>
      <rPr>
        <sz val="10"/>
        <rFont val="Arial"/>
        <family val="2"/>
        <charset val="1"/>
      </rPr>
      <t xml:space="preserve">= 1 - 280 / </t>
    </r>
    <r>
      <rPr>
        <i val="true"/>
        <sz val="10"/>
        <rFont val="Arial"/>
        <family val="2"/>
        <charset val="1"/>
      </rPr>
      <t xml:space="preserve">b</t>
    </r>
    <r>
      <rPr>
        <vertAlign val="subscript"/>
        <sz val="10"/>
        <rFont val="Arial"/>
        <family val="2"/>
        <charset val="1"/>
      </rPr>
      <t xml:space="preserve">AFS63</t>
    </r>
  </si>
  <si>
    <r>
      <rPr>
        <i val="true"/>
        <sz val="10"/>
        <rFont val="Arial"/>
        <family val="2"/>
        <charset val="1"/>
      </rPr>
      <t xml:space="preserve">ƞ</t>
    </r>
    <r>
      <rPr>
        <vertAlign val="subscript"/>
        <sz val="10"/>
        <rFont val="Arial"/>
        <family val="2"/>
        <charset val="1"/>
      </rPr>
      <t xml:space="preserve">ges,AFS63</t>
    </r>
  </si>
  <si>
    <t xml:space="preserve">Maximal zulässige Oberflächenbeschickung (Bemessungswert)</t>
  </si>
  <si>
    <r>
      <rPr>
        <i val="true"/>
        <sz val="10"/>
        <rFont val="Arial"/>
        <family val="2"/>
        <charset val="1"/>
      </rPr>
      <t xml:space="preserve">q</t>
    </r>
    <r>
      <rPr>
        <vertAlign val="subscript"/>
        <sz val="10"/>
        <rFont val="Arial"/>
        <family val="2"/>
        <charset val="1"/>
      </rPr>
      <t xml:space="preserve">A,Bem  </t>
    </r>
    <r>
      <rPr>
        <sz val="10"/>
        <rFont val="Arial"/>
        <family val="2"/>
        <charset val="1"/>
      </rPr>
      <t xml:space="preserve">= -8,333 · ln(</t>
    </r>
    <r>
      <rPr>
        <i val="true"/>
        <sz val="10"/>
        <rFont val="Arial"/>
        <family val="2"/>
        <charset val="1"/>
      </rPr>
      <t xml:space="preserve">ƞ</t>
    </r>
    <r>
      <rPr>
        <vertAlign val="subscript"/>
        <sz val="10"/>
        <rFont val="Arial"/>
        <family val="2"/>
        <charset val="1"/>
      </rPr>
      <t xml:space="preserve">ges</t>
    </r>
    <r>
      <rPr>
        <sz val="10"/>
        <rFont val="Arial"/>
        <family val="2"/>
        <charset val="1"/>
      </rPr>
      <t xml:space="preserve">) - 1,6629 </t>
    </r>
    <r>
      <rPr>
        <vertAlign val="superscript"/>
        <sz val="10"/>
        <rFont val="Arial"/>
        <family val="2"/>
        <charset val="1"/>
      </rPr>
      <t xml:space="preserve">*)</t>
    </r>
  </si>
  <si>
    <r>
      <rPr>
        <i val="true"/>
        <sz val="10"/>
        <rFont val="Arial"/>
        <family val="2"/>
        <charset val="1"/>
      </rPr>
      <t xml:space="preserve">q</t>
    </r>
    <r>
      <rPr>
        <vertAlign val="subscript"/>
        <sz val="10"/>
        <rFont val="Arial"/>
        <family val="2"/>
        <charset val="1"/>
      </rPr>
      <t xml:space="preserve">A,Bem</t>
    </r>
  </si>
  <si>
    <t xml:space="preserve">m/h</t>
  </si>
  <si>
    <t xml:space="preserve">Erforderliche Beckenoberfläche</t>
  </si>
  <si>
    <r>
      <rPr>
        <i val="true"/>
        <sz val="10"/>
        <rFont val="Arial"/>
        <family val="2"/>
        <charset val="1"/>
      </rPr>
      <t xml:space="preserve">A</t>
    </r>
    <r>
      <rPr>
        <vertAlign val="subscript"/>
        <sz val="10"/>
        <rFont val="Arial"/>
        <family val="2"/>
        <charset val="1"/>
      </rPr>
      <t xml:space="preserve">RKB </t>
    </r>
    <r>
      <rPr>
        <sz val="10"/>
        <rFont val="Arial"/>
        <family val="2"/>
        <charset val="1"/>
      </rPr>
      <t xml:space="preserve">= 3,6 · (</t>
    </r>
    <r>
      <rPr>
        <i val="true"/>
        <sz val="10"/>
        <rFont val="Arial"/>
        <family val="2"/>
        <charset val="1"/>
      </rPr>
      <t xml:space="preserve">A</t>
    </r>
    <r>
      <rPr>
        <vertAlign val="subscript"/>
        <sz val="10"/>
        <rFont val="Arial"/>
        <family val="2"/>
        <charset val="1"/>
      </rPr>
      <t xml:space="preserve">b,a </t>
    </r>
    <r>
      <rPr>
        <sz val="10"/>
        <rFont val="Arial"/>
        <family val="2"/>
        <charset val="1"/>
      </rPr>
      <t xml:space="preserve">· </t>
    </r>
    <r>
      <rPr>
        <i val="true"/>
        <sz val="10"/>
        <rFont val="Arial"/>
        <family val="2"/>
        <charset val="1"/>
      </rPr>
      <t xml:space="preserve">r</t>
    </r>
    <r>
      <rPr>
        <vertAlign val="subscript"/>
        <sz val="10"/>
        <rFont val="Arial"/>
        <family val="2"/>
        <charset val="1"/>
      </rPr>
      <t xml:space="preserve">krit </t>
    </r>
    <r>
      <rPr>
        <sz val="10"/>
        <rFont val="Arial"/>
        <family val="2"/>
        <charset val="1"/>
      </rPr>
      <t xml:space="preserve">+ Q</t>
    </r>
    <r>
      <rPr>
        <vertAlign val="subscript"/>
        <sz val="10"/>
        <rFont val="Arial"/>
        <family val="2"/>
        <charset val="1"/>
      </rPr>
      <t xml:space="preserve">F</t>
    </r>
    <r>
      <rPr>
        <sz val="10"/>
        <rFont val="Arial"/>
        <family val="2"/>
        <charset val="1"/>
      </rPr>
      <t xml:space="preserve">) / </t>
    </r>
    <r>
      <rPr>
        <i val="true"/>
        <sz val="10"/>
        <rFont val="Arial"/>
        <family val="2"/>
        <charset val="1"/>
      </rPr>
      <t xml:space="preserve">q</t>
    </r>
    <r>
      <rPr>
        <vertAlign val="subscript"/>
        <sz val="10"/>
        <rFont val="Arial"/>
        <family val="2"/>
        <charset val="1"/>
      </rPr>
      <t xml:space="preserve">A,Bem</t>
    </r>
  </si>
  <si>
    <r>
      <rPr>
        <i val="true"/>
        <sz val="10"/>
        <rFont val="Arial"/>
        <family val="2"/>
        <charset val="1"/>
      </rPr>
      <t xml:space="preserve">A</t>
    </r>
    <r>
      <rPr>
        <vertAlign val="subscript"/>
        <sz val="10"/>
        <rFont val="Arial"/>
        <family val="2"/>
        <charset val="1"/>
      </rPr>
      <t xml:space="preserve">erf</t>
    </r>
  </si>
  <si>
    <r>
      <rPr>
        <sz val="10"/>
        <rFont val="Arial"/>
        <family val="2"/>
        <charset val="1"/>
      </rPr>
      <t xml:space="preserve">m</t>
    </r>
    <r>
      <rPr>
        <vertAlign val="superscript"/>
        <sz val="10"/>
        <rFont val="Arial"/>
        <family val="2"/>
        <charset val="1"/>
      </rPr>
      <t xml:space="preserve">2</t>
    </r>
  </si>
  <si>
    <t xml:space="preserve">Erforderliches Beckenvolumen (Beckentiefe 2,0 m)</t>
  </si>
  <si>
    <r>
      <rPr>
        <i val="true"/>
        <sz val="10"/>
        <rFont val="Arial"/>
        <family val="2"/>
        <charset val="1"/>
      </rPr>
      <t xml:space="preserve">V</t>
    </r>
    <r>
      <rPr>
        <vertAlign val="subscript"/>
        <sz val="10"/>
        <rFont val="Arial"/>
        <family val="2"/>
        <charset val="1"/>
      </rPr>
      <t xml:space="preserve">RKB </t>
    </r>
    <r>
      <rPr>
        <sz val="10"/>
        <rFont val="Arial"/>
        <family val="2"/>
        <charset val="1"/>
      </rPr>
      <t xml:space="preserve">= </t>
    </r>
    <r>
      <rPr>
        <i val="true"/>
        <sz val="10"/>
        <rFont val="Arial"/>
        <family val="2"/>
        <charset val="1"/>
      </rPr>
      <t xml:space="preserve">A</t>
    </r>
    <r>
      <rPr>
        <vertAlign val="subscript"/>
        <sz val="10"/>
        <rFont val="Arial"/>
        <family val="2"/>
        <charset val="1"/>
      </rPr>
      <t xml:space="preserve">RKB </t>
    </r>
    <r>
      <rPr>
        <sz val="10"/>
        <rFont val="Arial"/>
        <family val="2"/>
        <charset val="1"/>
      </rPr>
      <t xml:space="preserve">· 2,0</t>
    </r>
  </si>
  <si>
    <r>
      <rPr>
        <i val="true"/>
        <sz val="10"/>
        <rFont val="Arial"/>
        <family val="2"/>
        <charset val="1"/>
      </rPr>
      <t xml:space="preserve">V</t>
    </r>
    <r>
      <rPr>
        <vertAlign val="subscript"/>
        <sz val="10"/>
        <rFont val="Arial"/>
        <family val="2"/>
        <charset val="1"/>
      </rPr>
      <t xml:space="preserve">erf</t>
    </r>
  </si>
  <si>
    <r>
      <rPr>
        <sz val="10"/>
        <rFont val="Arial"/>
        <family val="2"/>
        <charset val="1"/>
      </rPr>
      <t xml:space="preserve">m</t>
    </r>
    <r>
      <rPr>
        <vertAlign val="superscript"/>
        <sz val="10"/>
        <rFont val="Arial"/>
        <family val="2"/>
        <charset val="1"/>
      </rPr>
      <t xml:space="preserve">3</t>
    </r>
  </si>
  <si>
    <r>
      <rPr>
        <i val="true"/>
        <vertAlign val="superscript"/>
        <sz val="10"/>
        <rFont val="Arial"/>
        <family val="2"/>
        <charset val="1"/>
      </rPr>
      <t xml:space="preserve">*)</t>
    </r>
    <r>
      <rPr>
        <i val="true"/>
        <sz val="10"/>
        <rFont val="Arial"/>
        <family val="2"/>
        <charset val="1"/>
      </rPr>
      <t xml:space="preserve"> </t>
    </r>
    <r>
      <rPr>
        <i val="true"/>
        <sz val="9"/>
        <rFont val="Arial"/>
        <family val="2"/>
        <charset val="1"/>
      </rPr>
      <t xml:space="preserve">Regressionsbeziehung auf Basis Bild 4, DWA-A 102-2 (inkl. nicht behandeltem Frachtanteil im Beckenüberlauf)</t>
    </r>
    <r>
      <rPr>
        <i val="true"/>
        <sz val="10"/>
        <rFont val="Arial"/>
        <family val="2"/>
        <charset val="1"/>
      </rPr>
      <t xml:space="preserve"> 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</si>
</sst>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.000"/>
    <numFmt numFmtId="167" formatCode="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0" tint="-0.35"/>
      <name val="Arial"/>
      <family val="2"/>
      <charset val="1"/>
    </font>
    <font>
      <sz val="11"/>
      <color theme="0" tint="-0.35"/>
      <name val="Calibri"/>
      <family val="2"/>
      <charset val="1"/>
    </font>
    <font>
      <sz val="11"/>
      <color theme="0" tint="-0.35"/>
      <name val="Arial"/>
      <family val="2"/>
      <charset val="1"/>
    </font>
    <font>
      <b val="true"/>
      <sz val="14"/>
      <name val="Arial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i val="true"/>
      <sz val="10"/>
      <name val="Arial"/>
      <family val="2"/>
      <charset val="1"/>
    </font>
    <font>
      <vertAlign val="subscript"/>
      <sz val="10"/>
      <name val="Arial"/>
      <family val="2"/>
      <charset val="1"/>
    </font>
    <font>
      <i val="true"/>
      <sz val="11"/>
      <color theme="1"/>
      <name val="Calibri"/>
      <family val="2"/>
      <charset val="1"/>
    </font>
    <font>
      <vertAlign val="superscript"/>
      <sz val="10"/>
      <name val="Arial"/>
      <family val="2"/>
      <charset val="1"/>
    </font>
    <font>
      <i val="true"/>
      <vertAlign val="superscript"/>
      <sz val="10"/>
      <name val="Arial"/>
      <family val="2"/>
      <charset val="1"/>
    </font>
    <font>
      <i val="true"/>
      <sz val="9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9" tint="0.7999"/>
        <bgColor rgb="FFFFFFFF"/>
      </patternFill>
    </fill>
    <fill>
      <patternFill patternType="solid">
        <fgColor theme="0" tint="-0.15"/>
        <bgColor rgb="FFDBEEF4"/>
      </patternFill>
    </fill>
    <fill>
      <patternFill patternType="solid">
        <fgColor theme="8" tint="0.7999"/>
        <bgColor rgb="FFCCFF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double"/>
      <right style="double"/>
      <top style="double"/>
      <bottom style="thin"/>
      <diagonal/>
    </border>
    <border diagonalUp="false" diagonalDown="false">
      <left style="double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double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double"/>
      <right style="thin"/>
      <top style="thin"/>
      <bottom style="double"/>
      <diagonal/>
    </border>
    <border diagonalUp="false" diagonalDown="false">
      <left style="thin"/>
      <right style="thin"/>
      <top style="thin"/>
      <bottom style="double"/>
      <diagonal/>
    </border>
    <border diagonalUp="false" diagonalDown="false">
      <left style="thin"/>
      <right style="double"/>
      <top style="thin"/>
      <bottom style="double"/>
      <diagonal/>
    </border>
    <border diagonalUp="false" diagonalDown="false">
      <left/>
      <right/>
      <top style="double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2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3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8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4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4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EADA"/>
      <rgbColor rgb="FFDBEE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1" activeCellId="0" sqref="F21"/>
    </sheetView>
  </sheetViews>
  <sheetFormatPr defaultColWidth="10.34375" defaultRowHeight="15" customHeight="true" zeroHeight="false" outlineLevelRow="0" outlineLevelCol="0"/>
  <cols>
    <col collapsed="false" customWidth="true" hidden="false" outlineLevel="0" max="1" min="1" style="0" width="51.71"/>
    <col collapsed="false" customWidth="true" hidden="false" outlineLevel="0" max="2" min="2" style="0" width="45"/>
  </cols>
  <sheetData>
    <row r="1" s="2" customFormat="tru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3" t="s">
        <v>1</v>
      </c>
    </row>
    <row r="4" customFormat="false" ht="15" hidden="false" customHeight="false" outlineLevel="0" collapsed="false">
      <c r="A4" s="4" t="s">
        <v>2</v>
      </c>
      <c r="B4" s="4"/>
      <c r="C4" s="4"/>
      <c r="D4" s="4"/>
      <c r="E4" s="4"/>
    </row>
    <row r="5" customFormat="false" ht="15" hidden="false" customHeight="false" outlineLevel="0" collapsed="false">
      <c r="A5" s="4"/>
      <c r="B5" s="4"/>
      <c r="C5" s="4"/>
      <c r="D5" s="4"/>
      <c r="E5" s="4"/>
    </row>
    <row r="6" customFormat="false" ht="15" hidden="false" customHeight="false" outlineLevel="0" collapsed="false">
      <c r="A6" s="5" t="s">
        <v>3</v>
      </c>
      <c r="B6" s="6" t="s">
        <v>4</v>
      </c>
      <c r="C6" s="7" t="s">
        <v>5</v>
      </c>
      <c r="D6" s="8" t="n">
        <v>0</v>
      </c>
      <c r="E6" s="9" t="s">
        <v>6</v>
      </c>
      <c r="L6" s="10"/>
    </row>
    <row r="7" customFormat="false" ht="15" hidden="false" customHeight="false" outlineLevel="0" collapsed="false">
      <c r="A7" s="5" t="s">
        <v>7</v>
      </c>
      <c r="B7" s="6"/>
      <c r="C7" s="7" t="s">
        <v>8</v>
      </c>
      <c r="D7" s="8" t="n">
        <v>0</v>
      </c>
      <c r="E7" s="9" t="s">
        <v>6</v>
      </c>
      <c r="L7" s="10"/>
    </row>
    <row r="8" customFormat="false" ht="15" hidden="false" customHeight="false" outlineLevel="0" collapsed="false">
      <c r="A8" s="5" t="s">
        <v>9</v>
      </c>
      <c r="B8" s="6"/>
      <c r="C8" s="7" t="s">
        <v>10</v>
      </c>
      <c r="D8" s="8" t="n">
        <v>0.76</v>
      </c>
      <c r="E8" s="9" t="s">
        <v>6</v>
      </c>
      <c r="L8" s="10"/>
    </row>
    <row r="9" customFormat="false" ht="15" hidden="false" customHeight="false" outlineLevel="0" collapsed="false">
      <c r="A9" s="5" t="s">
        <v>11</v>
      </c>
      <c r="B9" s="6"/>
      <c r="C9" s="7" t="s">
        <v>12</v>
      </c>
      <c r="D9" s="8" t="n">
        <v>1</v>
      </c>
      <c r="E9" s="9" t="s">
        <v>13</v>
      </c>
      <c r="L9" s="10"/>
    </row>
    <row r="10" customFormat="false" ht="15" hidden="false" customHeight="false" outlineLevel="0" collapsed="false">
      <c r="A10" s="5" t="s">
        <v>14</v>
      </c>
      <c r="B10" s="6"/>
      <c r="C10" s="7" t="s">
        <v>15</v>
      </c>
      <c r="D10" s="8" t="n">
        <v>0</v>
      </c>
      <c r="E10" s="9" t="s">
        <v>16</v>
      </c>
      <c r="L10" s="10"/>
    </row>
    <row r="11" customFormat="false" ht="15" hidden="false" customHeight="false" outlineLevel="0" collapsed="false">
      <c r="A11" s="11" t="s">
        <v>17</v>
      </c>
      <c r="B11" s="12" t="s">
        <v>18</v>
      </c>
      <c r="C11" s="13" t="s">
        <v>19</v>
      </c>
      <c r="D11" s="14" t="n">
        <v>55</v>
      </c>
      <c r="E11" s="15" t="s">
        <v>20</v>
      </c>
      <c r="L11" s="10"/>
    </row>
    <row r="12" customFormat="false" ht="15" hidden="false" customHeight="false" outlineLevel="0" collapsed="false">
      <c r="A12" s="11" t="s">
        <v>21</v>
      </c>
      <c r="B12" s="12"/>
      <c r="C12" s="13" t="s">
        <v>22</v>
      </c>
      <c r="D12" s="16" t="n">
        <v>0</v>
      </c>
      <c r="E12" s="15" t="s">
        <v>16</v>
      </c>
      <c r="L12" s="10"/>
    </row>
    <row r="13" customFormat="false" ht="15" hidden="false" customHeight="false" outlineLevel="0" collapsed="false">
      <c r="A13" s="11" t="s">
        <v>23</v>
      </c>
      <c r="B13" s="12"/>
      <c r="C13" s="13" t="s">
        <v>24</v>
      </c>
      <c r="D13" s="16" t="n">
        <v>0</v>
      </c>
      <c r="E13" s="15" t="s">
        <v>25</v>
      </c>
      <c r="L13" s="10"/>
    </row>
    <row r="14" customFormat="false" ht="15" hidden="false" customHeight="false" outlineLevel="0" collapsed="false">
      <c r="A14" s="17" t="s">
        <v>26</v>
      </c>
      <c r="B14" s="18" t="s">
        <v>27</v>
      </c>
      <c r="C14" s="19" t="s">
        <v>28</v>
      </c>
      <c r="D14" s="20" t="n">
        <f aca="false">D6+D7+D8</f>
        <v>0.76</v>
      </c>
      <c r="E14" s="21" t="s">
        <v>6</v>
      </c>
      <c r="L14" s="10"/>
    </row>
    <row r="15" customFormat="false" ht="15" hidden="false" customHeight="false" outlineLevel="0" collapsed="false">
      <c r="A15" s="17" t="s">
        <v>29</v>
      </c>
      <c r="B15" s="22" t="s">
        <v>30</v>
      </c>
      <c r="C15" s="19" t="s">
        <v>31</v>
      </c>
      <c r="D15" s="20" t="n">
        <f aca="false">(D6*280+D7*530+D8*760)/D14</f>
        <v>760</v>
      </c>
      <c r="E15" s="21" t="s">
        <v>32</v>
      </c>
      <c r="L15" s="10"/>
    </row>
    <row r="16" customFormat="false" ht="15" hidden="false" customHeight="false" outlineLevel="0" collapsed="false">
      <c r="A16" s="17" t="s">
        <v>33</v>
      </c>
      <c r="B16" s="22" t="s">
        <v>34</v>
      </c>
      <c r="C16" s="19" t="s">
        <v>35</v>
      </c>
      <c r="D16" s="23" t="n">
        <f aca="false">1-280/D15</f>
        <v>0.631578947368421</v>
      </c>
      <c r="E16" s="21" t="s">
        <v>13</v>
      </c>
    </row>
    <row r="17" customFormat="false" ht="15" hidden="false" customHeight="false" outlineLevel="0" collapsed="false">
      <c r="A17" s="17" t="s">
        <v>36</v>
      </c>
      <c r="B17" s="18" t="s">
        <v>37</v>
      </c>
      <c r="C17" s="19" t="s">
        <v>38</v>
      </c>
      <c r="D17" s="24" t="n">
        <f aca="false">-8.333*LN(D16)-1.6629</f>
        <v>2.16638290071054</v>
      </c>
      <c r="E17" s="21" t="s">
        <v>39</v>
      </c>
      <c r="I17" s="25"/>
    </row>
    <row r="18" customFormat="false" ht="15" hidden="false" customHeight="false" outlineLevel="0" collapsed="false">
      <c r="A18" s="17" t="s">
        <v>40</v>
      </c>
      <c r="B18" s="18" t="s">
        <v>41</v>
      </c>
      <c r="C18" s="19" t="s">
        <v>42</v>
      </c>
      <c r="D18" s="24" t="n">
        <f aca="false">3.6*(D14*D11+D10)/D17</f>
        <v>69.4614049763062</v>
      </c>
      <c r="E18" s="21" t="s">
        <v>43</v>
      </c>
      <c r="I18" s="25"/>
    </row>
    <row r="19" customFormat="false" ht="15" hidden="false" customHeight="false" outlineLevel="0" collapsed="false">
      <c r="A19" s="26" t="s">
        <v>44</v>
      </c>
      <c r="B19" s="27" t="s">
        <v>45</v>
      </c>
      <c r="C19" s="28" t="s">
        <v>46</v>
      </c>
      <c r="D19" s="29" t="n">
        <f aca="false">D18*2</f>
        <v>138.922809952612</v>
      </c>
      <c r="E19" s="30" t="s">
        <v>47</v>
      </c>
      <c r="I19" s="25"/>
    </row>
    <row r="20" customFormat="false" ht="6.75" hidden="false" customHeight="true" outlineLevel="0" collapsed="false">
      <c r="A20" s="31"/>
      <c r="B20" s="32"/>
      <c r="C20" s="33"/>
      <c r="D20" s="34"/>
      <c r="E20" s="33"/>
      <c r="I20" s="25"/>
    </row>
    <row r="21" customFormat="false" ht="24.05" hidden="false" customHeight="false" outlineLevel="0" collapsed="false">
      <c r="A21" s="35"/>
      <c r="B21" s="36" t="s">
        <v>48</v>
      </c>
    </row>
  </sheetData>
  <mergeCells count="3">
    <mergeCell ref="A4:E5"/>
    <mergeCell ref="B6:B10"/>
    <mergeCell ref="B11:B13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LibreOffice/25.8.1.1$Windows_X86_64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2014-06-04T13:08:25Z</dcterms:created>
  <dc:creator>Bernd Bürgel</dc:creator>
  <dc:description/>
  <dc:language>de-DE</dc:language>
  <cp:lastModifiedBy/>
  <cp:lastPrinted>2022-03-31T08:16:51Z</cp:lastPrinted>
  <dcterms:modified xsi:type="dcterms:W3CDTF">2025-10-28T15:26:00Z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